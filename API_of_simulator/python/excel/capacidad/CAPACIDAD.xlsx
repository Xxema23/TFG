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cesmtf01\REPORT\PLANIFICACION\2.- Recursos KPIs\"/>
    </mc:Choice>
  </mc:AlternateContent>
  <xr:revisionPtr revIDLastSave="0" documentId="13_ncr:1_{5697A3A5-A614-41E1-AB7E-EB8495A474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7" i="1" l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22" i="1"/>
  <c r="E21" i="1"/>
  <c r="E20" i="1"/>
  <c r="E19" i="1"/>
  <c r="E18" i="1"/>
  <c r="E17" i="1"/>
  <c r="E16" i="1"/>
  <c r="E139" i="1"/>
  <c r="E138" i="1"/>
  <c r="E137" i="1"/>
  <c r="E136" i="1"/>
  <c r="E135" i="1"/>
  <c r="E134" i="1"/>
  <c r="E133" i="1"/>
  <c r="E100" i="1"/>
  <c r="E99" i="1"/>
  <c r="E98" i="1"/>
  <c r="E97" i="1"/>
  <c r="E96" i="1"/>
  <c r="E95" i="1"/>
  <c r="E94" i="1"/>
  <c r="E362" i="1"/>
  <c r="E361" i="1"/>
  <c r="E360" i="1"/>
  <c r="E359" i="1"/>
  <c r="E358" i="1"/>
  <c r="E357" i="1"/>
  <c r="E356" i="1"/>
  <c r="E323" i="1"/>
  <c r="E322" i="1"/>
  <c r="E321" i="1"/>
  <c r="E320" i="1"/>
  <c r="E319" i="1"/>
  <c r="E318" i="1"/>
  <c r="E317" i="1"/>
  <c r="E231" i="1"/>
  <c r="E230" i="1"/>
  <c r="E229" i="1"/>
  <c r="E228" i="1"/>
  <c r="E227" i="1"/>
  <c r="E226" i="1"/>
  <c r="E225" i="1"/>
  <c r="E270" i="1"/>
  <c r="E269" i="1"/>
  <c r="E268" i="1"/>
  <c r="E267" i="1"/>
  <c r="E266" i="1"/>
  <c r="E265" i="1"/>
  <c r="E264" i="1"/>
  <c r="E192" i="1"/>
  <c r="E191" i="1"/>
  <c r="E190" i="1"/>
  <c r="E189" i="1"/>
  <c r="E188" i="1"/>
  <c r="E187" i="1"/>
  <c r="E186" i="1"/>
  <c r="E61" i="1"/>
  <c r="E60" i="1"/>
  <c r="E59" i="1"/>
  <c r="E58" i="1"/>
  <c r="E57" i="1"/>
  <c r="E56" i="1"/>
  <c r="E55" i="1"/>
  <c r="E355" i="1"/>
  <c r="E316" i="1"/>
  <c r="E302" i="1"/>
  <c r="E263" i="1"/>
  <c r="E224" i="1"/>
  <c r="E185" i="1"/>
  <c r="E171" i="1"/>
  <c r="E132" i="1"/>
  <c r="E93" i="1"/>
  <c r="E54" i="1"/>
  <c r="E15" i="1"/>
  <c r="E2" i="1"/>
  <c r="E41" i="1"/>
  <c r="E80" i="1"/>
  <c r="E119" i="1"/>
  <c r="E158" i="1"/>
  <c r="E172" i="1"/>
  <c r="E211" i="1"/>
  <c r="E250" i="1"/>
  <c r="E289" i="1"/>
  <c r="E303" i="1"/>
  <c r="E342" i="1"/>
  <c r="E3" i="1"/>
  <c r="E42" i="1"/>
  <c r="E81" i="1"/>
  <c r="E120" i="1"/>
  <c r="E159" i="1"/>
  <c r="E173" i="1"/>
  <c r="E212" i="1"/>
  <c r="E251" i="1"/>
  <c r="E290" i="1"/>
  <c r="E304" i="1"/>
  <c r="E343" i="1"/>
  <c r="E4" i="1"/>
  <c r="E43" i="1"/>
  <c r="E82" i="1"/>
  <c r="E121" i="1"/>
  <c r="E160" i="1"/>
  <c r="E174" i="1"/>
  <c r="E213" i="1"/>
  <c r="E252" i="1"/>
  <c r="E291" i="1"/>
  <c r="E305" i="1"/>
  <c r="E344" i="1"/>
  <c r="E5" i="1"/>
  <c r="E44" i="1"/>
  <c r="E83" i="1"/>
  <c r="E122" i="1"/>
  <c r="E161" i="1"/>
  <c r="E175" i="1"/>
  <c r="E214" i="1"/>
  <c r="E253" i="1"/>
  <c r="E292" i="1"/>
  <c r="E306" i="1"/>
  <c r="E345" i="1"/>
  <c r="E6" i="1"/>
  <c r="E45" i="1"/>
  <c r="E84" i="1"/>
  <c r="E123" i="1"/>
  <c r="E162" i="1"/>
  <c r="E176" i="1"/>
  <c r="E215" i="1"/>
  <c r="E254" i="1"/>
  <c r="E293" i="1"/>
  <c r="E307" i="1"/>
  <c r="E346" i="1"/>
  <c r="E7" i="1"/>
  <c r="E46" i="1"/>
  <c r="E85" i="1"/>
  <c r="E124" i="1"/>
  <c r="E163" i="1"/>
  <c r="E177" i="1"/>
  <c r="E216" i="1"/>
  <c r="E255" i="1"/>
  <c r="E294" i="1"/>
  <c r="E308" i="1"/>
  <c r="E347" i="1"/>
  <c r="E8" i="1"/>
  <c r="E47" i="1"/>
  <c r="E86" i="1"/>
  <c r="E125" i="1"/>
  <c r="E164" i="1"/>
  <c r="E178" i="1"/>
  <c r="E217" i="1"/>
  <c r="E256" i="1"/>
  <c r="E295" i="1"/>
  <c r="E309" i="1"/>
  <c r="E348" i="1"/>
  <c r="E9" i="1"/>
  <c r="E48" i="1"/>
  <c r="E87" i="1"/>
  <c r="E126" i="1"/>
  <c r="E165" i="1"/>
  <c r="E179" i="1"/>
  <c r="E218" i="1"/>
  <c r="E257" i="1"/>
  <c r="E296" i="1"/>
  <c r="E310" i="1"/>
  <c r="E349" i="1"/>
  <c r="E10" i="1"/>
  <c r="E49" i="1"/>
  <c r="E88" i="1"/>
  <c r="E127" i="1"/>
  <c r="E166" i="1"/>
  <c r="E180" i="1"/>
  <c r="E219" i="1"/>
  <c r="E258" i="1"/>
  <c r="E297" i="1"/>
  <c r="E311" i="1"/>
  <c r="E350" i="1"/>
  <c r="E11" i="1"/>
  <c r="E50" i="1"/>
  <c r="E89" i="1"/>
  <c r="E128" i="1"/>
  <c r="E167" i="1"/>
  <c r="E181" i="1"/>
  <c r="E220" i="1"/>
  <c r="E259" i="1"/>
  <c r="E298" i="1"/>
  <c r="E312" i="1"/>
  <c r="E351" i="1"/>
  <c r="E12" i="1"/>
  <c r="E51" i="1"/>
  <c r="E90" i="1"/>
  <c r="E129" i="1"/>
  <c r="E168" i="1"/>
  <c r="E182" i="1"/>
  <c r="E221" i="1"/>
  <c r="E260" i="1"/>
  <c r="E299" i="1"/>
  <c r="E313" i="1"/>
  <c r="E352" i="1"/>
  <c r="E13" i="1"/>
  <c r="E52" i="1"/>
  <c r="E91" i="1"/>
  <c r="E130" i="1"/>
  <c r="E169" i="1"/>
  <c r="E183" i="1"/>
  <c r="E222" i="1"/>
  <c r="E261" i="1"/>
  <c r="E300" i="1"/>
  <c r="E314" i="1"/>
  <c r="E353" i="1"/>
  <c r="E14" i="1"/>
  <c r="E53" i="1"/>
  <c r="E92" i="1"/>
  <c r="E131" i="1"/>
  <c r="E170" i="1"/>
  <c r="E184" i="1"/>
  <c r="E223" i="1"/>
  <c r="E262" i="1"/>
  <c r="E301" i="1"/>
  <c r="E315" i="1"/>
  <c r="E354" i="1"/>
</calcChain>
</file>

<file path=xl/sharedStrings.xml><?xml version="1.0" encoding="utf-8"?>
<sst xmlns="http://schemas.openxmlformats.org/spreadsheetml/2006/main" count="397" uniqueCount="17">
  <si>
    <t>IL1</t>
  </si>
  <si>
    <t>L1</t>
  </si>
  <si>
    <t>L10</t>
  </si>
  <si>
    <t>L11</t>
  </si>
  <si>
    <t>L12</t>
  </si>
  <si>
    <t>L3</t>
  </si>
  <si>
    <t>L31</t>
  </si>
  <si>
    <t>L5</t>
  </si>
  <si>
    <t>L8</t>
  </si>
  <si>
    <t>L9</t>
  </si>
  <si>
    <t>Semana</t>
  </si>
  <si>
    <t>Turnos</t>
  </si>
  <si>
    <t>Linea</t>
  </si>
  <si>
    <t>Capacidad día/Turno</t>
  </si>
  <si>
    <t>L14</t>
  </si>
  <si>
    <t>Capacidad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</si>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</sst>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0" fontId="1" fillId="2" borderId="0" xfId="1"/>
    <xf numFmtId="0" fontId="1" fillId="3" borderId="0" xfId="1" applyFill="1"/>
  </cellXfs>
  <cellStyles count="2">
    <cellStyle name="Neutral" xfId="1" builtinId="28"/>
    <cellStyle name="Normal" xfId="0" builtinId="0"/>
  </cellStyles>
  <dxfs count="2">
    <dxf>
      <numFmt numFmtId="2" formatCode="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CE286C-1212-4C3D-87E2-39320C2FA31F}" name="MPS" displayName="MPS" ref="A1:E380" totalsRowShown="0">
  <sortState xmlns:xlrd2="http://schemas.microsoft.com/office/spreadsheetml/2017/richdata2" ref="A2:E380">
    <sortCondition ref="A2:A380"/>
    <sortCondition ref="B2:B380"/>
    <sortCondition ref="C2:C380"/>
  </sortState>
  <tableColumns count="5">
    <tableColumn id="1" xr3:uid="{21EDC8EA-F143-4A3B-A249-A34DD9BF0AA4}" name="Linea"/>
    <tableColumn id="2" xr3:uid="{F4A82A17-1976-4695-AD70-75D4EDC40668}" name="Ano"/>
    <tableColumn id="3" xr3:uid="{C31BBF81-DCA9-4A8C-BC82-97824A210774}" name="Semana"/>
    <tableColumn id="4" xr3:uid="{B3CE15A3-F36E-4375-95C2-DD8A3D804471}" name="Turnos" dataCellStyle="Neutral"/>
    <tableColumn id="5" xr3:uid="{52DA54C9-F17B-4FCB-ACBA-76FF1B4376D2}" name="Capacidad" dataDxfId="1">
      <calculatedColumnFormula>_xlfn.XLOOKUP(MPS[[#This Row],[Linea]],CAPACIDAD[Linea],CAPACIDAD[Capacidad día/Turno])*MPS[[#This Row],[Turnos]]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3624AC7-04F4-4D5D-B4BB-BD9C15D1EE7E}" name="CAPACIDAD" displayName="CAPACIDAD" ref="A1:B12" totalsRowShown="0">
  <tableColumns count="2">
    <tableColumn id="1" xr3:uid="{8FB4930E-34C9-481F-9BBC-EB9550B2F1F5}" name="Linea"/>
    <tableColumn id="2" xr3:uid="{48FFCCFB-5231-4683-89FF-874832F6F2A1}" name="Capacidad día/Tur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0"/>
  <sheetViews>
    <sheetView tabSelected="1" zoomScaleNormal="100" workbookViewId="0">
      <pane ySplit="1" topLeftCell="A2" activePane="bottomLeft" state="frozen"/>
      <selection pane="bottomLeft" activeCell="C5" sqref="C5"/>
    </sheetView>
  </sheetViews>
  <sheetFormatPr baseColWidth="10" defaultColWidth="9.109375" defaultRowHeight="14.4" x14ac:dyDescent="0.3"/>
  <cols>
    <col min="1" max="1" width="8" bestFit="1" customWidth="1"/>
    <col min="2" max="2" width="6.88671875" bestFit="1" customWidth="1"/>
    <col min="3" max="3" width="10.33203125" bestFit="1" customWidth="1"/>
    <col min="4" max="4" width="9.33203125" bestFit="1" customWidth="1"/>
    <col min="5" max="5" width="12.33203125" bestFit="1" customWidth="1"/>
    <col min="7" max="7" width="8" bestFit="1" customWidth="1"/>
    <col min="8" max="8" width="21.5546875" bestFit="1" customWidth="1"/>
  </cols>
  <sheetData>
    <row r="1" spans="1:5" x14ac:dyDescent="0.3">
      <c r="A1" t="s">
        <v>12</v>
      </c>
      <c r="B1" t="s">
        <v>16</v>
      </c>
      <c r="C1" t="s">
        <v>10</v>
      </c>
      <c r="D1" s="2" t="s">
        <v>11</v>
      </c>
      <c r="E1" t="s">
        <v>15</v>
      </c>
    </row>
    <row r="2" spans="1:5" x14ac:dyDescent="0.3">
      <c r="A2" t="s">
        <v>0</v>
      </c>
      <c r="B2">
        <v>2024</v>
      </c>
      <c r="C2">
        <v>47</v>
      </c>
      <c r="D2" s="2">
        <v>0.2</v>
      </c>
      <c r="E2">
        <f>_xlfn.XLOOKUP(MPS[[#This Row],[Linea]],CAPACIDAD[Linea],CAPACIDAD[Capacidad día/Turno])*MPS[[#This Row],[Turnos]]</f>
        <v>7.9050000000000002</v>
      </c>
    </row>
    <row r="3" spans="1:5" x14ac:dyDescent="0.3">
      <c r="A3" t="s">
        <v>0</v>
      </c>
      <c r="B3">
        <v>2024</v>
      </c>
      <c r="C3">
        <v>48</v>
      </c>
      <c r="D3" s="3">
        <v>0</v>
      </c>
      <c r="E3">
        <f>_xlfn.XLOOKUP(MPS[[#This Row],[Linea]],CAPACIDAD[Linea],CAPACIDAD[Capacidad día/Turno])*MPS[[#This Row],[Turnos]]</f>
        <v>0</v>
      </c>
    </row>
    <row r="4" spans="1:5" x14ac:dyDescent="0.3">
      <c r="A4" t="s">
        <v>0</v>
      </c>
      <c r="B4">
        <v>2024</v>
      </c>
      <c r="C4">
        <v>49</v>
      </c>
      <c r="D4" s="2">
        <v>0</v>
      </c>
      <c r="E4">
        <f>_xlfn.XLOOKUP(MPS[[#This Row],[Linea]],CAPACIDAD[Linea],CAPACIDAD[Capacidad día/Turno])*MPS[[#This Row],[Turnos]]</f>
        <v>0</v>
      </c>
    </row>
    <row r="5" spans="1:5" x14ac:dyDescent="0.3">
      <c r="A5" t="s">
        <v>0</v>
      </c>
      <c r="B5">
        <v>2024</v>
      </c>
      <c r="C5">
        <v>50</v>
      </c>
      <c r="D5" s="3">
        <v>0</v>
      </c>
      <c r="E5">
        <f>_xlfn.XLOOKUP(MPS[[#This Row],[Linea]],CAPACIDAD[Linea],CAPACIDAD[Capacidad día/Turno])*MPS[[#This Row],[Turnos]]</f>
        <v>0</v>
      </c>
    </row>
    <row r="6" spans="1:5" x14ac:dyDescent="0.3">
      <c r="A6" t="s">
        <v>0</v>
      </c>
      <c r="B6">
        <v>2024</v>
      </c>
      <c r="C6">
        <v>51</v>
      </c>
      <c r="D6" s="2">
        <v>0</v>
      </c>
      <c r="E6">
        <f>_xlfn.XLOOKUP(MPS[[#This Row],[Linea]],CAPACIDAD[Linea],CAPACIDAD[Capacidad día/Turno])*MPS[[#This Row],[Turnos]]</f>
        <v>0</v>
      </c>
    </row>
    <row r="7" spans="1:5" x14ac:dyDescent="0.3">
      <c r="A7" t="s">
        <v>0</v>
      </c>
      <c r="B7">
        <v>2025</v>
      </c>
      <c r="C7">
        <v>2</v>
      </c>
      <c r="D7" s="3">
        <v>0</v>
      </c>
      <c r="E7">
        <f>_xlfn.XLOOKUP(MPS[[#This Row],[Linea]],CAPACIDAD[Linea],CAPACIDAD[Capacidad día/Turno])*MPS[[#This Row],[Turnos]]</f>
        <v>0</v>
      </c>
    </row>
    <row r="8" spans="1:5" x14ac:dyDescent="0.3">
      <c r="A8" t="s">
        <v>0</v>
      </c>
      <c r="B8">
        <v>2025</v>
      </c>
      <c r="C8">
        <v>3</v>
      </c>
      <c r="D8" s="2">
        <v>0</v>
      </c>
      <c r="E8">
        <f>_xlfn.XLOOKUP(MPS[[#This Row],[Linea]],CAPACIDAD[Linea],CAPACIDAD[Capacidad día/Turno])*MPS[[#This Row],[Turnos]]</f>
        <v>0</v>
      </c>
    </row>
    <row r="9" spans="1:5" x14ac:dyDescent="0.3">
      <c r="A9" t="s">
        <v>0</v>
      </c>
      <c r="B9">
        <v>2025</v>
      </c>
      <c r="C9">
        <v>4</v>
      </c>
      <c r="D9" s="3">
        <v>0.2</v>
      </c>
      <c r="E9">
        <f>_xlfn.XLOOKUP(MPS[[#This Row],[Linea]],CAPACIDAD[Linea],CAPACIDAD[Capacidad día/Turno])*MPS[[#This Row],[Turnos]]</f>
        <v>7.9050000000000002</v>
      </c>
    </row>
    <row r="10" spans="1:5" x14ac:dyDescent="0.3">
      <c r="A10" t="s">
        <v>0</v>
      </c>
      <c r="B10">
        <v>2025</v>
      </c>
      <c r="C10">
        <v>5</v>
      </c>
      <c r="D10" s="2">
        <v>0</v>
      </c>
      <c r="E10">
        <f>_xlfn.XLOOKUP(MPS[[#This Row],[Linea]],CAPACIDAD[Linea],CAPACIDAD[Capacidad día/Turno])*MPS[[#This Row],[Turnos]]</f>
        <v>0</v>
      </c>
    </row>
    <row r="11" spans="1:5" x14ac:dyDescent="0.3">
      <c r="A11" t="s">
        <v>0</v>
      </c>
      <c r="B11">
        <v>2025</v>
      </c>
      <c r="C11">
        <v>6</v>
      </c>
      <c r="D11" s="3">
        <v>0</v>
      </c>
      <c r="E11">
        <f>_xlfn.XLOOKUP(MPS[[#This Row],[Linea]],CAPACIDAD[Linea],CAPACIDAD[Capacidad día/Turno])*MPS[[#This Row],[Turnos]]</f>
        <v>0</v>
      </c>
    </row>
    <row r="12" spans="1:5" x14ac:dyDescent="0.3">
      <c r="A12" t="s">
        <v>0</v>
      </c>
      <c r="B12">
        <v>2025</v>
      </c>
      <c r="C12">
        <v>7</v>
      </c>
      <c r="D12" s="2">
        <v>0</v>
      </c>
      <c r="E12">
        <f>_xlfn.XLOOKUP(MPS[[#This Row],[Linea]],CAPACIDAD[Linea],CAPACIDAD[Capacidad día/Turno])*MPS[[#This Row],[Turnos]]</f>
        <v>0</v>
      </c>
    </row>
    <row r="13" spans="1:5" x14ac:dyDescent="0.3">
      <c r="A13" t="s">
        <v>0</v>
      </c>
      <c r="B13">
        <v>2025</v>
      </c>
      <c r="C13">
        <v>8</v>
      </c>
      <c r="D13" s="3">
        <v>0</v>
      </c>
      <c r="E13">
        <f>_xlfn.XLOOKUP(MPS[[#This Row],[Linea]],CAPACIDAD[Linea],CAPACIDAD[Capacidad día/Turno])*MPS[[#This Row],[Turnos]]</f>
        <v>0</v>
      </c>
    </row>
    <row r="14" spans="1:5" x14ac:dyDescent="0.3">
      <c r="A14" t="s">
        <v>0</v>
      </c>
      <c r="B14">
        <v>2025</v>
      </c>
      <c r="C14">
        <v>9</v>
      </c>
      <c r="D14" s="2">
        <v>0</v>
      </c>
      <c r="E14">
        <f>_xlfn.XLOOKUP(MPS[[#This Row],[Linea]],CAPACIDAD[Linea],CAPACIDAD[Capacidad día/Turno])*MPS[[#This Row],[Turnos]]</f>
        <v>0</v>
      </c>
    </row>
    <row r="15" spans="1:5" x14ac:dyDescent="0.3">
      <c r="A15" t="s">
        <v>0</v>
      </c>
      <c r="B15">
        <v>2025</v>
      </c>
      <c r="C15">
        <v>10</v>
      </c>
      <c r="D15" s="2">
        <v>0</v>
      </c>
      <c r="E15">
        <f>_xlfn.XLOOKUP(MPS[[#This Row],[Linea]],CAPACIDAD[Linea],CAPACIDAD[Capacidad día/Turno])*MPS[[#This Row],[Turnos]]</f>
        <v>0</v>
      </c>
    </row>
    <row r="16" spans="1:5" x14ac:dyDescent="0.3">
      <c r="A16" t="s">
        <v>0</v>
      </c>
      <c r="B16">
        <v>2025</v>
      </c>
      <c r="C16">
        <v>11</v>
      </c>
      <c r="D16" s="2">
        <v>0</v>
      </c>
      <c r="E16">
        <f>_xlfn.XLOOKUP(MPS[[#This Row],[Linea]],CAPACIDAD[Linea],CAPACIDAD[Capacidad día/Turno])*MPS[[#This Row],[Turnos]]</f>
        <v>0</v>
      </c>
    </row>
    <row r="17" spans="1:5" x14ac:dyDescent="0.3">
      <c r="A17" t="s">
        <v>0</v>
      </c>
      <c r="B17">
        <v>2025</v>
      </c>
      <c r="C17">
        <v>12</v>
      </c>
      <c r="D17" s="2">
        <v>0</v>
      </c>
      <c r="E17">
        <f>_xlfn.XLOOKUP(MPS[[#This Row],[Linea]],CAPACIDAD[Linea],CAPACIDAD[Capacidad día/Turno])*MPS[[#This Row],[Turnos]]</f>
        <v>0</v>
      </c>
    </row>
    <row r="18" spans="1:5" x14ac:dyDescent="0.3">
      <c r="A18" t="s">
        <v>0</v>
      </c>
      <c r="B18">
        <v>2025</v>
      </c>
      <c r="C18">
        <v>13</v>
      </c>
      <c r="D18" s="2">
        <v>1</v>
      </c>
      <c r="E18">
        <f>_xlfn.XLOOKUP(MPS[[#This Row],[Linea]],CAPACIDAD[Linea],CAPACIDAD[Capacidad día/Turno])*MPS[[#This Row],[Turnos]]</f>
        <v>39.524999999999999</v>
      </c>
    </row>
    <row r="19" spans="1:5" x14ac:dyDescent="0.3">
      <c r="A19" t="s">
        <v>0</v>
      </c>
      <c r="B19">
        <v>2025</v>
      </c>
      <c r="C19">
        <v>14</v>
      </c>
      <c r="D19" s="2">
        <v>1</v>
      </c>
      <c r="E19">
        <f>_xlfn.XLOOKUP(MPS[[#This Row],[Linea]],CAPACIDAD[Linea],CAPACIDAD[Capacidad día/Turno])*MPS[[#This Row],[Turnos]]</f>
        <v>39.524999999999999</v>
      </c>
    </row>
    <row r="20" spans="1:5" x14ac:dyDescent="0.3">
      <c r="A20" t="s">
        <v>0</v>
      </c>
      <c r="B20">
        <v>2025</v>
      </c>
      <c r="C20">
        <v>15</v>
      </c>
      <c r="D20" s="2">
        <v>1</v>
      </c>
      <c r="E20">
        <f>_xlfn.XLOOKUP(MPS[[#This Row],[Linea]],CAPACIDAD[Linea],CAPACIDAD[Capacidad día/Turno])*MPS[[#This Row],[Turnos]]</f>
        <v>39.524999999999999</v>
      </c>
    </row>
    <row r="21" spans="1:5" x14ac:dyDescent="0.3">
      <c r="A21" t="s">
        <v>0</v>
      </c>
      <c r="B21">
        <v>2025</v>
      </c>
      <c r="C21">
        <v>16</v>
      </c>
      <c r="D21" s="2">
        <v>0</v>
      </c>
      <c r="E21">
        <f>_xlfn.XLOOKUP(MPS[[#This Row],[Linea]],CAPACIDAD[Linea],CAPACIDAD[Capacidad día/Turno])*MPS[[#This Row],[Turnos]]</f>
        <v>0</v>
      </c>
    </row>
    <row r="22" spans="1:5" x14ac:dyDescent="0.3">
      <c r="A22" t="s">
        <v>0</v>
      </c>
      <c r="B22">
        <v>2025</v>
      </c>
      <c r="C22">
        <v>17</v>
      </c>
      <c r="D22" s="2">
        <v>1</v>
      </c>
      <c r="E22">
        <f>_xlfn.XLOOKUP(MPS[[#This Row],[Linea]],CAPACIDAD[Linea],CAPACIDAD[Capacidad día/Turno])*MPS[[#This Row],[Turnos]]</f>
        <v>39.524999999999999</v>
      </c>
    </row>
    <row r="23" spans="1:5" x14ac:dyDescent="0.3">
      <c r="A23" t="s">
        <v>0</v>
      </c>
      <c r="B23">
        <v>2025</v>
      </c>
      <c r="C23">
        <v>18</v>
      </c>
      <c r="D23" s="2">
        <v>1</v>
      </c>
      <c r="E23">
        <f>_xlfn.XLOOKUP(MPS[[#This Row],[Linea]],CAPACIDAD[Linea],CAPACIDAD[Capacidad día/Turno])*MPS[[#This Row],[Turnos]]</f>
        <v>39.524999999999999</v>
      </c>
    </row>
    <row r="24" spans="1:5" x14ac:dyDescent="0.3">
      <c r="A24" t="s">
        <v>0</v>
      </c>
      <c r="B24">
        <v>2025</v>
      </c>
      <c r="C24">
        <v>19</v>
      </c>
      <c r="D24" s="2">
        <v>1</v>
      </c>
      <c r="E24">
        <f>_xlfn.XLOOKUP(MPS[[#This Row],[Linea]],CAPACIDAD[Linea],CAPACIDAD[Capacidad día/Turno])*MPS[[#This Row],[Turnos]]</f>
        <v>39.524999999999999</v>
      </c>
    </row>
    <row r="25" spans="1:5" x14ac:dyDescent="0.3">
      <c r="A25" t="s">
        <v>0</v>
      </c>
      <c r="B25">
        <v>2025</v>
      </c>
      <c r="C25">
        <v>20</v>
      </c>
      <c r="D25" s="2">
        <v>1</v>
      </c>
      <c r="E25">
        <f>_xlfn.XLOOKUP(MPS[[#This Row],[Linea]],CAPACIDAD[Linea],CAPACIDAD[Capacidad día/Turno])*MPS[[#This Row],[Turnos]]</f>
        <v>39.524999999999999</v>
      </c>
    </row>
    <row r="26" spans="1:5" x14ac:dyDescent="0.3">
      <c r="A26" t="s">
        <v>0</v>
      </c>
      <c r="B26">
        <v>2025</v>
      </c>
      <c r="C26">
        <v>21</v>
      </c>
      <c r="D26" s="2">
        <v>1</v>
      </c>
      <c r="E26">
        <f>_xlfn.XLOOKUP(MPS[[#This Row],[Linea]],CAPACIDAD[Linea],CAPACIDAD[Capacidad día/Turno])*MPS[[#This Row],[Turnos]]</f>
        <v>39.524999999999999</v>
      </c>
    </row>
    <row r="27" spans="1:5" x14ac:dyDescent="0.3">
      <c r="A27" t="s">
        <v>0</v>
      </c>
      <c r="B27">
        <v>2025</v>
      </c>
      <c r="C27">
        <v>22</v>
      </c>
      <c r="D27" s="2">
        <v>1</v>
      </c>
      <c r="E27">
        <f>_xlfn.XLOOKUP(MPS[[#This Row],[Linea]],CAPACIDAD[Linea],CAPACIDAD[Capacidad día/Turno])*MPS[[#This Row],[Turnos]]</f>
        <v>39.524999999999999</v>
      </c>
    </row>
    <row r="28" spans="1:5" x14ac:dyDescent="0.3">
      <c r="A28" t="s">
        <v>0</v>
      </c>
      <c r="B28">
        <v>2025</v>
      </c>
      <c r="C28">
        <v>23</v>
      </c>
      <c r="D28" s="2">
        <v>1</v>
      </c>
      <c r="E28">
        <f>_xlfn.XLOOKUP(MPS[[#This Row],[Linea]],CAPACIDAD[Linea],CAPACIDAD[Capacidad día/Turno])*MPS[[#This Row],[Turnos]]</f>
        <v>39.524999999999999</v>
      </c>
    </row>
    <row r="29" spans="1:5" x14ac:dyDescent="0.3">
      <c r="A29" t="s">
        <v>0</v>
      </c>
      <c r="B29">
        <v>2025</v>
      </c>
      <c r="C29">
        <v>24</v>
      </c>
      <c r="D29" s="2">
        <v>0</v>
      </c>
      <c r="E29">
        <f>_xlfn.XLOOKUP(MPS[[#This Row],[Linea]],CAPACIDAD[Linea],CAPACIDAD[Capacidad día/Turno])*MPS[[#This Row],[Turnos]]</f>
        <v>0</v>
      </c>
    </row>
    <row r="30" spans="1:5" x14ac:dyDescent="0.3">
      <c r="A30" t="s">
        <v>0</v>
      </c>
      <c r="B30">
        <v>2025</v>
      </c>
      <c r="C30">
        <v>25</v>
      </c>
      <c r="D30" s="2">
        <v>0</v>
      </c>
      <c r="E30">
        <f>_xlfn.XLOOKUP(MPS[[#This Row],[Linea]],CAPACIDAD[Linea],CAPACIDAD[Capacidad día/Turno])*MPS[[#This Row],[Turnos]]</f>
        <v>0</v>
      </c>
    </row>
    <row r="31" spans="1:5" x14ac:dyDescent="0.3">
      <c r="A31" t="s">
        <v>0</v>
      </c>
      <c r="B31">
        <v>2025</v>
      </c>
      <c r="C31">
        <v>26</v>
      </c>
      <c r="D31" s="2">
        <v>0</v>
      </c>
      <c r="E31">
        <f>_xlfn.XLOOKUP(MPS[[#This Row],[Linea]],CAPACIDAD[Linea],CAPACIDAD[Capacidad día/Turno])*MPS[[#This Row],[Turnos]]</f>
        <v>0</v>
      </c>
    </row>
    <row r="32" spans="1:5" x14ac:dyDescent="0.3">
      <c r="A32" t="s">
        <v>0</v>
      </c>
      <c r="B32">
        <v>2025</v>
      </c>
      <c r="C32">
        <v>27</v>
      </c>
      <c r="D32" s="2">
        <v>0</v>
      </c>
      <c r="E32">
        <f>_xlfn.XLOOKUP(MPS[[#This Row],[Linea]],CAPACIDAD[Linea],CAPACIDAD[Capacidad día/Turno])*MPS[[#This Row],[Turnos]]</f>
        <v>0</v>
      </c>
    </row>
    <row r="33" spans="1:5" x14ac:dyDescent="0.3">
      <c r="A33" t="s">
        <v>0</v>
      </c>
      <c r="B33">
        <v>2025</v>
      </c>
      <c r="C33">
        <v>28</v>
      </c>
      <c r="D33" s="2">
        <v>0</v>
      </c>
      <c r="E33">
        <f>_xlfn.XLOOKUP(MPS[[#This Row],[Linea]],CAPACIDAD[Linea],CAPACIDAD[Capacidad día/Turno])*MPS[[#This Row],[Turnos]]</f>
        <v>0</v>
      </c>
    </row>
    <row r="34" spans="1:5" x14ac:dyDescent="0.3">
      <c r="A34" t="s">
        <v>0</v>
      </c>
      <c r="B34">
        <v>2025</v>
      </c>
      <c r="C34">
        <v>29</v>
      </c>
      <c r="D34" s="2">
        <v>0</v>
      </c>
      <c r="E34">
        <f>_xlfn.XLOOKUP(MPS[[#This Row],[Linea]],CAPACIDAD[Linea],CAPACIDAD[Capacidad día/Turno])*MPS[[#This Row],[Turnos]]</f>
        <v>0</v>
      </c>
    </row>
    <row r="35" spans="1:5" x14ac:dyDescent="0.3">
      <c r="A35" t="s">
        <v>0</v>
      </c>
      <c r="B35">
        <v>2025</v>
      </c>
      <c r="C35">
        <v>30</v>
      </c>
      <c r="D35" s="2">
        <v>0</v>
      </c>
      <c r="E35">
        <f>_xlfn.XLOOKUP(MPS[[#This Row],[Linea]],CAPACIDAD[Linea],CAPACIDAD[Capacidad día/Turno])*MPS[[#This Row],[Turnos]]</f>
        <v>0</v>
      </c>
    </row>
    <row r="36" spans="1:5" x14ac:dyDescent="0.3">
      <c r="A36" t="s">
        <v>0</v>
      </c>
      <c r="B36">
        <v>2025</v>
      </c>
      <c r="C36">
        <v>31</v>
      </c>
      <c r="D36" s="2">
        <v>0</v>
      </c>
      <c r="E36">
        <f>_xlfn.XLOOKUP(MPS[[#This Row],[Linea]],CAPACIDAD[Linea],CAPACIDAD[Capacidad día/Turno])*MPS[[#This Row],[Turnos]]</f>
        <v>0</v>
      </c>
    </row>
    <row r="37" spans="1:5" x14ac:dyDescent="0.3">
      <c r="A37" t="s">
        <v>0</v>
      </c>
      <c r="B37">
        <v>2025</v>
      </c>
      <c r="C37">
        <v>32</v>
      </c>
      <c r="D37" s="2">
        <v>0</v>
      </c>
      <c r="E37">
        <f>_xlfn.XLOOKUP(MPS[[#This Row],[Linea]],CAPACIDAD[Linea],CAPACIDAD[Capacidad día/Turno])*MPS[[#This Row],[Turnos]]</f>
        <v>0</v>
      </c>
    </row>
    <row r="38" spans="1:5" x14ac:dyDescent="0.3">
      <c r="A38" t="s">
        <v>0</v>
      </c>
      <c r="B38">
        <v>2025</v>
      </c>
      <c r="C38">
        <v>33</v>
      </c>
      <c r="D38" s="2">
        <v>0</v>
      </c>
      <c r="E38">
        <f>_xlfn.XLOOKUP(MPS[[#This Row],[Linea]],CAPACIDAD[Linea],CAPACIDAD[Capacidad día/Turno])*MPS[[#This Row],[Turnos]]</f>
        <v>0</v>
      </c>
    </row>
    <row r="39" spans="1:5" x14ac:dyDescent="0.3">
      <c r="A39" t="s">
        <v>0</v>
      </c>
      <c r="B39">
        <v>2025</v>
      </c>
      <c r="C39">
        <v>34</v>
      </c>
      <c r="D39" s="2">
        <v>0</v>
      </c>
      <c r="E39">
        <f>_xlfn.XLOOKUP(MPS[[#This Row],[Linea]],CAPACIDAD[Linea],CAPACIDAD[Capacidad día/Turno])*MPS[[#This Row],[Turnos]]</f>
        <v>0</v>
      </c>
    </row>
    <row r="40" spans="1:5" x14ac:dyDescent="0.3">
      <c r="A40" t="s">
        <v>0</v>
      </c>
      <c r="B40">
        <v>2025</v>
      </c>
      <c r="C40">
        <v>35</v>
      </c>
      <c r="D40" s="2">
        <v>0</v>
      </c>
      <c r="E40">
        <f>_xlfn.XLOOKUP(MPS[[#This Row],[Linea]],CAPACIDAD[Linea],CAPACIDAD[Capacidad día/Turno])*MPS[[#This Row],[Turnos]]</f>
        <v>0</v>
      </c>
    </row>
    <row r="41" spans="1:5" x14ac:dyDescent="0.3">
      <c r="A41" t="s">
        <v>1</v>
      </c>
      <c r="B41">
        <v>2024</v>
      </c>
      <c r="C41">
        <v>47</v>
      </c>
      <c r="D41" s="3">
        <v>0</v>
      </c>
      <c r="E41">
        <f>_xlfn.XLOOKUP(MPS[[#This Row],[Linea]],CAPACIDAD[Linea],CAPACIDAD[Capacidad día/Turno])*MPS[[#This Row],[Turnos]]</f>
        <v>0</v>
      </c>
    </row>
    <row r="42" spans="1:5" x14ac:dyDescent="0.3">
      <c r="A42" t="s">
        <v>1</v>
      </c>
      <c r="B42">
        <v>2024</v>
      </c>
      <c r="C42">
        <v>48</v>
      </c>
      <c r="D42" s="2">
        <v>0</v>
      </c>
      <c r="E42">
        <f>_xlfn.XLOOKUP(MPS[[#This Row],[Linea]],CAPACIDAD[Linea],CAPACIDAD[Capacidad día/Turno])*MPS[[#This Row],[Turnos]]</f>
        <v>0</v>
      </c>
    </row>
    <row r="43" spans="1:5" x14ac:dyDescent="0.3">
      <c r="A43" t="s">
        <v>1</v>
      </c>
      <c r="B43">
        <v>2024</v>
      </c>
      <c r="C43">
        <v>49</v>
      </c>
      <c r="D43" s="3">
        <v>1</v>
      </c>
      <c r="E43">
        <f>_xlfn.XLOOKUP(MPS[[#This Row],[Linea]],CAPACIDAD[Linea],CAPACIDAD[Capacidad día/Turno])*MPS[[#This Row],[Turnos]]</f>
        <v>73.625</v>
      </c>
    </row>
    <row r="44" spans="1:5" x14ac:dyDescent="0.3">
      <c r="A44" t="s">
        <v>1</v>
      </c>
      <c r="B44">
        <v>2024</v>
      </c>
      <c r="C44">
        <v>50</v>
      </c>
      <c r="D44" s="2">
        <v>1</v>
      </c>
      <c r="E44">
        <f>_xlfn.XLOOKUP(MPS[[#This Row],[Linea]],CAPACIDAD[Linea],CAPACIDAD[Capacidad día/Turno])*MPS[[#This Row],[Turnos]]</f>
        <v>73.625</v>
      </c>
    </row>
    <row r="45" spans="1:5" x14ac:dyDescent="0.3">
      <c r="A45" t="s">
        <v>1</v>
      </c>
      <c r="B45">
        <v>2024</v>
      </c>
      <c r="C45">
        <v>51</v>
      </c>
      <c r="D45" s="3">
        <v>1</v>
      </c>
      <c r="E45">
        <f>_xlfn.XLOOKUP(MPS[[#This Row],[Linea]],CAPACIDAD[Linea],CAPACIDAD[Capacidad día/Turno])*MPS[[#This Row],[Turnos]]</f>
        <v>73.625</v>
      </c>
    </row>
    <row r="46" spans="1:5" x14ac:dyDescent="0.3">
      <c r="A46" t="s">
        <v>1</v>
      </c>
      <c r="B46">
        <v>2025</v>
      </c>
      <c r="C46">
        <v>2</v>
      </c>
      <c r="D46" s="2">
        <v>1</v>
      </c>
      <c r="E46">
        <f>_xlfn.XLOOKUP(MPS[[#This Row],[Linea]],CAPACIDAD[Linea],CAPACIDAD[Capacidad día/Turno])*MPS[[#This Row],[Turnos]]</f>
        <v>73.625</v>
      </c>
    </row>
    <row r="47" spans="1:5" x14ac:dyDescent="0.3">
      <c r="A47" t="s">
        <v>1</v>
      </c>
      <c r="B47">
        <v>2025</v>
      </c>
      <c r="C47">
        <v>3</v>
      </c>
      <c r="D47" s="3">
        <v>1</v>
      </c>
      <c r="E47">
        <f>_xlfn.XLOOKUP(MPS[[#This Row],[Linea]],CAPACIDAD[Linea],CAPACIDAD[Capacidad día/Turno])*MPS[[#This Row],[Turnos]]</f>
        <v>73.625</v>
      </c>
    </row>
    <row r="48" spans="1:5" x14ac:dyDescent="0.3">
      <c r="A48" t="s">
        <v>1</v>
      </c>
      <c r="B48">
        <v>2025</v>
      </c>
      <c r="C48">
        <v>4</v>
      </c>
      <c r="D48" s="2">
        <v>1</v>
      </c>
      <c r="E48">
        <f>_xlfn.XLOOKUP(MPS[[#This Row],[Linea]],CAPACIDAD[Linea],CAPACIDAD[Capacidad día/Turno])*MPS[[#This Row],[Turnos]]</f>
        <v>73.625</v>
      </c>
    </row>
    <row r="49" spans="1:5" x14ac:dyDescent="0.3">
      <c r="A49" t="s">
        <v>1</v>
      </c>
      <c r="B49">
        <v>2025</v>
      </c>
      <c r="C49">
        <v>5</v>
      </c>
      <c r="D49" s="3">
        <v>1</v>
      </c>
      <c r="E49">
        <f>_xlfn.XLOOKUP(MPS[[#This Row],[Linea]],CAPACIDAD[Linea],CAPACIDAD[Capacidad día/Turno])*MPS[[#This Row],[Turnos]]</f>
        <v>73.625</v>
      </c>
    </row>
    <row r="50" spans="1:5" x14ac:dyDescent="0.3">
      <c r="A50" t="s">
        <v>1</v>
      </c>
      <c r="B50">
        <v>2025</v>
      </c>
      <c r="C50">
        <v>6</v>
      </c>
      <c r="D50" s="2">
        <v>1</v>
      </c>
      <c r="E50">
        <f>_xlfn.XLOOKUP(MPS[[#This Row],[Linea]],CAPACIDAD[Linea],CAPACIDAD[Capacidad día/Turno])*MPS[[#This Row],[Turnos]]</f>
        <v>73.625</v>
      </c>
    </row>
    <row r="51" spans="1:5" x14ac:dyDescent="0.3">
      <c r="A51" t="s">
        <v>1</v>
      </c>
      <c r="B51">
        <v>2025</v>
      </c>
      <c r="C51">
        <v>7</v>
      </c>
      <c r="D51" s="3">
        <v>1</v>
      </c>
      <c r="E51">
        <f>_xlfn.XLOOKUP(MPS[[#This Row],[Linea]],CAPACIDAD[Linea],CAPACIDAD[Capacidad día/Turno])*MPS[[#This Row],[Turnos]]</f>
        <v>73.625</v>
      </c>
    </row>
    <row r="52" spans="1:5" x14ac:dyDescent="0.3">
      <c r="A52" t="s">
        <v>1</v>
      </c>
      <c r="B52">
        <v>2025</v>
      </c>
      <c r="C52">
        <v>8</v>
      </c>
      <c r="D52" s="2">
        <v>1</v>
      </c>
      <c r="E52">
        <f>_xlfn.XLOOKUP(MPS[[#This Row],[Linea]],CAPACIDAD[Linea],CAPACIDAD[Capacidad día/Turno])*MPS[[#This Row],[Turnos]]</f>
        <v>73.625</v>
      </c>
    </row>
    <row r="53" spans="1:5" x14ac:dyDescent="0.3">
      <c r="A53" t="s">
        <v>1</v>
      </c>
      <c r="B53">
        <v>2025</v>
      </c>
      <c r="C53">
        <v>9</v>
      </c>
      <c r="D53" s="3">
        <v>1</v>
      </c>
      <c r="E53">
        <f>_xlfn.XLOOKUP(MPS[[#This Row],[Linea]],CAPACIDAD[Linea],CAPACIDAD[Capacidad día/Turno])*MPS[[#This Row],[Turnos]]</f>
        <v>73.625</v>
      </c>
    </row>
    <row r="54" spans="1:5" x14ac:dyDescent="0.3">
      <c r="A54" t="s">
        <v>1</v>
      </c>
      <c r="B54">
        <v>2025</v>
      </c>
      <c r="C54">
        <v>10</v>
      </c>
      <c r="D54" s="2">
        <v>1</v>
      </c>
      <c r="E54">
        <f>_xlfn.XLOOKUP(MPS[[#This Row],[Linea]],CAPACIDAD[Linea],CAPACIDAD[Capacidad día/Turno])*MPS[[#This Row],[Turnos]]</f>
        <v>73.625</v>
      </c>
    </row>
    <row r="55" spans="1:5" x14ac:dyDescent="0.3">
      <c r="A55" t="s">
        <v>1</v>
      </c>
      <c r="B55">
        <v>2025</v>
      </c>
      <c r="C55">
        <v>11</v>
      </c>
      <c r="D55" s="2">
        <v>1</v>
      </c>
      <c r="E55">
        <f>_xlfn.XLOOKUP(MPS[[#This Row],[Linea]],CAPACIDAD[Linea],CAPACIDAD[Capacidad día/Turno])*MPS[[#This Row],[Turnos]]</f>
        <v>73.625</v>
      </c>
    </row>
    <row r="56" spans="1:5" x14ac:dyDescent="0.3">
      <c r="A56" t="s">
        <v>1</v>
      </c>
      <c r="B56">
        <v>2025</v>
      </c>
      <c r="C56">
        <v>12</v>
      </c>
      <c r="D56" s="2">
        <v>0.5</v>
      </c>
      <c r="E56">
        <f>_xlfn.XLOOKUP(MPS[[#This Row],[Linea]],CAPACIDAD[Linea],CAPACIDAD[Capacidad día/Turno])*MPS[[#This Row],[Turnos]]</f>
        <v>36.8125</v>
      </c>
    </row>
    <row r="57" spans="1:5" x14ac:dyDescent="0.3">
      <c r="A57" t="s">
        <v>1</v>
      </c>
      <c r="B57">
        <v>2025</v>
      </c>
      <c r="C57">
        <v>13</v>
      </c>
      <c r="D57" s="2">
        <v>0.5</v>
      </c>
      <c r="E57">
        <f>_xlfn.XLOOKUP(MPS[[#This Row],[Linea]],CAPACIDAD[Linea],CAPACIDAD[Capacidad día/Turno])*MPS[[#This Row],[Turnos]]</f>
        <v>36.8125</v>
      </c>
    </row>
    <row r="58" spans="1:5" x14ac:dyDescent="0.3">
      <c r="A58" t="s">
        <v>1</v>
      </c>
      <c r="B58">
        <v>2025</v>
      </c>
      <c r="C58">
        <v>14</v>
      </c>
      <c r="D58" s="2">
        <v>0.5</v>
      </c>
      <c r="E58">
        <f>_xlfn.XLOOKUP(MPS[[#This Row],[Linea]],CAPACIDAD[Linea],CAPACIDAD[Capacidad día/Turno])*MPS[[#This Row],[Turnos]]</f>
        <v>36.8125</v>
      </c>
    </row>
    <row r="59" spans="1:5" x14ac:dyDescent="0.3">
      <c r="A59" t="s">
        <v>1</v>
      </c>
      <c r="B59">
        <v>2025</v>
      </c>
      <c r="C59">
        <v>15</v>
      </c>
      <c r="D59" s="2">
        <v>0.5</v>
      </c>
      <c r="E59">
        <f>_xlfn.XLOOKUP(MPS[[#This Row],[Linea]],CAPACIDAD[Linea],CAPACIDAD[Capacidad día/Turno])*MPS[[#This Row],[Turnos]]</f>
        <v>36.8125</v>
      </c>
    </row>
    <row r="60" spans="1:5" x14ac:dyDescent="0.3">
      <c r="A60" t="s">
        <v>1</v>
      </c>
      <c r="B60">
        <v>2025</v>
      </c>
      <c r="C60">
        <v>16</v>
      </c>
      <c r="D60" s="2">
        <v>0</v>
      </c>
      <c r="E60">
        <f>_xlfn.XLOOKUP(MPS[[#This Row],[Linea]],CAPACIDAD[Linea],CAPACIDAD[Capacidad día/Turno])*MPS[[#This Row],[Turnos]]</f>
        <v>0</v>
      </c>
    </row>
    <row r="61" spans="1:5" x14ac:dyDescent="0.3">
      <c r="A61" t="s">
        <v>1</v>
      </c>
      <c r="B61">
        <v>2025</v>
      </c>
      <c r="C61">
        <v>17</v>
      </c>
      <c r="D61" s="2">
        <v>0.5</v>
      </c>
      <c r="E61">
        <f>_xlfn.XLOOKUP(MPS[[#This Row],[Linea]],CAPACIDAD[Linea],CAPACIDAD[Capacidad día/Turno])*MPS[[#This Row],[Turnos]]</f>
        <v>36.8125</v>
      </c>
    </row>
    <row r="62" spans="1:5" x14ac:dyDescent="0.3">
      <c r="A62" t="s">
        <v>1</v>
      </c>
      <c r="B62">
        <v>2025</v>
      </c>
      <c r="C62">
        <v>18</v>
      </c>
      <c r="D62" s="2">
        <v>0.5</v>
      </c>
      <c r="E62">
        <f>_xlfn.XLOOKUP(MPS[[#This Row],[Linea]],CAPACIDAD[Linea],CAPACIDAD[Capacidad día/Turno])*MPS[[#This Row],[Turnos]]</f>
        <v>36.8125</v>
      </c>
    </row>
    <row r="63" spans="1:5" x14ac:dyDescent="0.3">
      <c r="A63" t="s">
        <v>1</v>
      </c>
      <c r="B63">
        <v>2025</v>
      </c>
      <c r="C63">
        <v>19</v>
      </c>
      <c r="D63" s="2">
        <v>0.5</v>
      </c>
      <c r="E63">
        <f>_xlfn.XLOOKUP(MPS[[#This Row],[Linea]],CAPACIDAD[Linea],CAPACIDAD[Capacidad día/Turno])*MPS[[#This Row],[Turnos]]</f>
        <v>36.8125</v>
      </c>
    </row>
    <row r="64" spans="1:5" x14ac:dyDescent="0.3">
      <c r="A64" t="s">
        <v>1</v>
      </c>
      <c r="B64">
        <v>2025</v>
      </c>
      <c r="C64">
        <v>20</v>
      </c>
      <c r="D64" s="2">
        <v>0.5</v>
      </c>
      <c r="E64">
        <f>_xlfn.XLOOKUP(MPS[[#This Row],[Linea]],CAPACIDAD[Linea],CAPACIDAD[Capacidad día/Turno])*MPS[[#This Row],[Turnos]]</f>
        <v>36.8125</v>
      </c>
    </row>
    <row r="65" spans="1:5" x14ac:dyDescent="0.3">
      <c r="A65" t="s">
        <v>1</v>
      </c>
      <c r="B65">
        <v>2025</v>
      </c>
      <c r="C65">
        <v>21</v>
      </c>
      <c r="D65" s="2">
        <v>0.5</v>
      </c>
      <c r="E65">
        <f>_xlfn.XLOOKUP(MPS[[#This Row],[Linea]],CAPACIDAD[Linea],CAPACIDAD[Capacidad día/Turno])*MPS[[#This Row],[Turnos]]</f>
        <v>36.8125</v>
      </c>
    </row>
    <row r="66" spans="1:5" x14ac:dyDescent="0.3">
      <c r="A66" t="s">
        <v>1</v>
      </c>
      <c r="B66">
        <v>2025</v>
      </c>
      <c r="C66">
        <v>22</v>
      </c>
      <c r="D66" s="2">
        <v>0.5</v>
      </c>
      <c r="E66">
        <f>_xlfn.XLOOKUP(MPS[[#This Row],[Linea]],CAPACIDAD[Linea],CAPACIDAD[Capacidad día/Turno])*MPS[[#This Row],[Turnos]]</f>
        <v>36.8125</v>
      </c>
    </row>
    <row r="67" spans="1:5" x14ac:dyDescent="0.3">
      <c r="A67" t="s">
        <v>1</v>
      </c>
      <c r="B67">
        <v>2025</v>
      </c>
      <c r="C67">
        <v>23</v>
      </c>
      <c r="D67" s="2">
        <v>0.5</v>
      </c>
      <c r="E67">
        <f>_xlfn.XLOOKUP(MPS[[#This Row],[Linea]],CAPACIDAD[Linea],CAPACIDAD[Capacidad día/Turno])*MPS[[#This Row],[Turnos]]</f>
        <v>36.8125</v>
      </c>
    </row>
    <row r="68" spans="1:5" x14ac:dyDescent="0.3">
      <c r="A68" t="s">
        <v>1</v>
      </c>
      <c r="B68">
        <v>2025</v>
      </c>
      <c r="C68">
        <v>24</v>
      </c>
      <c r="D68" s="2">
        <v>0.5</v>
      </c>
      <c r="E68">
        <f>_xlfn.XLOOKUP(MPS[[#This Row],[Linea]],CAPACIDAD[Linea],CAPACIDAD[Capacidad día/Turno])*MPS[[#This Row],[Turnos]]</f>
        <v>36.8125</v>
      </c>
    </row>
    <row r="69" spans="1:5" x14ac:dyDescent="0.3">
      <c r="A69" t="s">
        <v>1</v>
      </c>
      <c r="B69">
        <v>2025</v>
      </c>
      <c r="C69">
        <v>25</v>
      </c>
      <c r="D69" s="2">
        <v>0.5</v>
      </c>
      <c r="E69">
        <f>_xlfn.XLOOKUP(MPS[[#This Row],[Linea]],CAPACIDAD[Linea],CAPACIDAD[Capacidad día/Turno])*MPS[[#This Row],[Turnos]]</f>
        <v>36.8125</v>
      </c>
    </row>
    <row r="70" spans="1:5" x14ac:dyDescent="0.3">
      <c r="A70" t="s">
        <v>1</v>
      </c>
      <c r="B70">
        <v>2025</v>
      </c>
      <c r="C70">
        <v>26</v>
      </c>
      <c r="D70" s="2">
        <v>0.5</v>
      </c>
      <c r="E70">
        <f>_xlfn.XLOOKUP(MPS[[#This Row],[Linea]],CAPACIDAD[Linea],CAPACIDAD[Capacidad día/Turno])*MPS[[#This Row],[Turnos]]</f>
        <v>36.8125</v>
      </c>
    </row>
    <row r="71" spans="1:5" x14ac:dyDescent="0.3">
      <c r="A71" t="s">
        <v>1</v>
      </c>
      <c r="B71">
        <v>2025</v>
      </c>
      <c r="C71">
        <v>27</v>
      </c>
      <c r="D71" s="2">
        <v>0.5</v>
      </c>
      <c r="E71">
        <f>_xlfn.XLOOKUP(MPS[[#This Row],[Linea]],CAPACIDAD[Linea],CAPACIDAD[Capacidad día/Turno])*MPS[[#This Row],[Turnos]]</f>
        <v>36.8125</v>
      </c>
    </row>
    <row r="72" spans="1:5" x14ac:dyDescent="0.3">
      <c r="A72" t="s">
        <v>1</v>
      </c>
      <c r="B72">
        <v>2025</v>
      </c>
      <c r="C72">
        <v>28</v>
      </c>
      <c r="D72" s="2">
        <v>0.5</v>
      </c>
      <c r="E72">
        <f>_xlfn.XLOOKUP(MPS[[#This Row],[Linea]],CAPACIDAD[Linea],CAPACIDAD[Capacidad día/Turno])*MPS[[#This Row],[Turnos]]</f>
        <v>36.8125</v>
      </c>
    </row>
    <row r="73" spans="1:5" x14ac:dyDescent="0.3">
      <c r="A73" t="s">
        <v>1</v>
      </c>
      <c r="B73">
        <v>2025</v>
      </c>
      <c r="C73">
        <v>29</v>
      </c>
      <c r="D73" s="2">
        <v>0.5</v>
      </c>
      <c r="E73">
        <f>_xlfn.XLOOKUP(MPS[[#This Row],[Linea]],CAPACIDAD[Linea],CAPACIDAD[Capacidad día/Turno])*MPS[[#This Row],[Turnos]]</f>
        <v>36.8125</v>
      </c>
    </row>
    <row r="74" spans="1:5" x14ac:dyDescent="0.3">
      <c r="A74" t="s">
        <v>1</v>
      </c>
      <c r="B74">
        <v>2025</v>
      </c>
      <c r="C74">
        <v>30</v>
      </c>
      <c r="D74" s="2">
        <v>0.5</v>
      </c>
      <c r="E74">
        <f>_xlfn.XLOOKUP(MPS[[#This Row],[Linea]],CAPACIDAD[Linea],CAPACIDAD[Capacidad día/Turno])*MPS[[#This Row],[Turnos]]</f>
        <v>36.8125</v>
      </c>
    </row>
    <row r="75" spans="1:5" x14ac:dyDescent="0.3">
      <c r="A75" t="s">
        <v>1</v>
      </c>
      <c r="B75">
        <v>2025</v>
      </c>
      <c r="C75">
        <v>31</v>
      </c>
      <c r="D75" s="2">
        <v>0.5</v>
      </c>
      <c r="E75">
        <f>_xlfn.XLOOKUP(MPS[[#This Row],[Linea]],CAPACIDAD[Linea],CAPACIDAD[Capacidad día/Turno])*MPS[[#This Row],[Turnos]]</f>
        <v>36.8125</v>
      </c>
    </row>
    <row r="76" spans="1:5" x14ac:dyDescent="0.3">
      <c r="A76" t="s">
        <v>1</v>
      </c>
      <c r="B76">
        <v>2025</v>
      </c>
      <c r="C76">
        <v>32</v>
      </c>
      <c r="D76" s="2">
        <v>0</v>
      </c>
      <c r="E76">
        <f>_xlfn.XLOOKUP(MPS[[#This Row],[Linea]],CAPACIDAD[Linea],CAPACIDAD[Capacidad día/Turno])*MPS[[#This Row],[Turnos]]</f>
        <v>0</v>
      </c>
    </row>
    <row r="77" spans="1:5" x14ac:dyDescent="0.3">
      <c r="A77" t="s">
        <v>1</v>
      </c>
      <c r="B77">
        <v>2025</v>
      </c>
      <c r="C77">
        <v>33</v>
      </c>
      <c r="D77" s="2">
        <v>0</v>
      </c>
      <c r="E77">
        <f>_xlfn.XLOOKUP(MPS[[#This Row],[Linea]],CAPACIDAD[Linea],CAPACIDAD[Capacidad día/Turno])*MPS[[#This Row],[Turnos]]</f>
        <v>0</v>
      </c>
    </row>
    <row r="78" spans="1:5" x14ac:dyDescent="0.3">
      <c r="A78" t="s">
        <v>1</v>
      </c>
      <c r="B78">
        <v>2025</v>
      </c>
      <c r="C78">
        <v>34</v>
      </c>
      <c r="D78" s="2">
        <v>0</v>
      </c>
      <c r="E78">
        <f>_xlfn.XLOOKUP(MPS[[#This Row],[Linea]],CAPACIDAD[Linea],CAPACIDAD[Capacidad día/Turno])*MPS[[#This Row],[Turnos]]</f>
        <v>0</v>
      </c>
    </row>
    <row r="79" spans="1:5" x14ac:dyDescent="0.3">
      <c r="A79" t="s">
        <v>1</v>
      </c>
      <c r="B79">
        <v>2025</v>
      </c>
      <c r="C79">
        <v>35</v>
      </c>
      <c r="D79" s="2">
        <v>0</v>
      </c>
      <c r="E79">
        <f>_xlfn.XLOOKUP(MPS[[#This Row],[Linea]],CAPACIDAD[Linea],CAPACIDAD[Capacidad día/Turno])*MPS[[#This Row],[Turnos]]</f>
        <v>0</v>
      </c>
    </row>
    <row r="80" spans="1:5" x14ac:dyDescent="0.3">
      <c r="A80" t="s">
        <v>2</v>
      </c>
      <c r="B80">
        <v>2024</v>
      </c>
      <c r="C80">
        <v>47</v>
      </c>
      <c r="D80" s="2">
        <v>0</v>
      </c>
      <c r="E80">
        <f>_xlfn.XLOOKUP(MPS[[#This Row],[Linea]],CAPACIDAD[Linea],CAPACIDAD[Capacidad día/Turno])*MPS[[#This Row],[Turnos]]</f>
        <v>0</v>
      </c>
    </row>
    <row r="81" spans="1:5" x14ac:dyDescent="0.3">
      <c r="A81" t="s">
        <v>2</v>
      </c>
      <c r="B81">
        <v>2024</v>
      </c>
      <c r="C81">
        <v>48</v>
      </c>
      <c r="D81" s="3">
        <v>0.75</v>
      </c>
      <c r="E81">
        <f>_xlfn.XLOOKUP(MPS[[#This Row],[Linea]],CAPACIDAD[Linea],CAPACIDAD[Capacidad día/Turno])*MPS[[#This Row],[Turnos]]</f>
        <v>36.211874999999999</v>
      </c>
    </row>
    <row r="82" spans="1:5" x14ac:dyDescent="0.3">
      <c r="A82" t="s">
        <v>2</v>
      </c>
      <c r="B82">
        <v>2024</v>
      </c>
      <c r="C82">
        <v>49</v>
      </c>
      <c r="D82" s="2">
        <v>0.75</v>
      </c>
      <c r="E82">
        <f>_xlfn.XLOOKUP(MPS[[#This Row],[Linea]],CAPACIDAD[Linea],CAPACIDAD[Capacidad día/Turno])*MPS[[#This Row],[Turnos]]</f>
        <v>36.211874999999999</v>
      </c>
    </row>
    <row r="83" spans="1:5" x14ac:dyDescent="0.3">
      <c r="A83" t="s">
        <v>2</v>
      </c>
      <c r="B83">
        <v>2024</v>
      </c>
      <c r="C83">
        <v>50</v>
      </c>
      <c r="D83" s="3">
        <v>0.75</v>
      </c>
      <c r="E83">
        <f>_xlfn.XLOOKUP(MPS[[#This Row],[Linea]],CAPACIDAD[Linea],CAPACIDAD[Capacidad día/Turno])*MPS[[#This Row],[Turnos]]</f>
        <v>36.211874999999999</v>
      </c>
    </row>
    <row r="84" spans="1:5" x14ac:dyDescent="0.3">
      <c r="A84" t="s">
        <v>2</v>
      </c>
      <c r="B84">
        <v>2024</v>
      </c>
      <c r="C84">
        <v>51</v>
      </c>
      <c r="D84" s="2">
        <v>0.75</v>
      </c>
      <c r="E84">
        <f>_xlfn.XLOOKUP(MPS[[#This Row],[Linea]],CAPACIDAD[Linea],CAPACIDAD[Capacidad día/Turno])*MPS[[#This Row],[Turnos]]</f>
        <v>36.211874999999999</v>
      </c>
    </row>
    <row r="85" spans="1:5" x14ac:dyDescent="0.3">
      <c r="A85" t="s">
        <v>2</v>
      </c>
      <c r="B85">
        <v>2025</v>
      </c>
      <c r="C85">
        <v>2</v>
      </c>
      <c r="D85" s="3">
        <v>1.5</v>
      </c>
      <c r="E85">
        <f>_xlfn.XLOOKUP(MPS[[#This Row],[Linea]],CAPACIDAD[Linea],CAPACIDAD[Capacidad día/Turno])*MPS[[#This Row],[Turnos]]</f>
        <v>72.423749999999998</v>
      </c>
    </row>
    <row r="86" spans="1:5" x14ac:dyDescent="0.3">
      <c r="A86" t="s">
        <v>2</v>
      </c>
      <c r="B86">
        <v>2025</v>
      </c>
      <c r="C86">
        <v>3</v>
      </c>
      <c r="D86" s="3">
        <v>1.5</v>
      </c>
      <c r="E86">
        <f>_xlfn.XLOOKUP(MPS[[#This Row],[Linea]],CAPACIDAD[Linea],CAPACIDAD[Capacidad día/Turno])*MPS[[#This Row],[Turnos]]</f>
        <v>72.423749999999998</v>
      </c>
    </row>
    <row r="87" spans="1:5" x14ac:dyDescent="0.3">
      <c r="A87" t="s">
        <v>2</v>
      </c>
      <c r="B87">
        <v>2025</v>
      </c>
      <c r="C87">
        <v>4</v>
      </c>
      <c r="D87" s="3">
        <v>1.5</v>
      </c>
      <c r="E87">
        <f>_xlfn.XLOOKUP(MPS[[#This Row],[Linea]],CAPACIDAD[Linea],CAPACIDAD[Capacidad día/Turno])*MPS[[#This Row],[Turnos]]</f>
        <v>72.423749999999998</v>
      </c>
    </row>
    <row r="88" spans="1:5" x14ac:dyDescent="0.3">
      <c r="A88" t="s">
        <v>2</v>
      </c>
      <c r="B88">
        <v>2025</v>
      </c>
      <c r="C88">
        <v>5</v>
      </c>
      <c r="D88" s="3">
        <v>1.5</v>
      </c>
      <c r="E88">
        <f>_xlfn.XLOOKUP(MPS[[#This Row],[Linea]],CAPACIDAD[Linea],CAPACIDAD[Capacidad día/Turno])*MPS[[#This Row],[Turnos]]</f>
        <v>72.423749999999998</v>
      </c>
    </row>
    <row r="89" spans="1:5" x14ac:dyDescent="0.3">
      <c r="A89" t="s">
        <v>2</v>
      </c>
      <c r="B89">
        <v>2025</v>
      </c>
      <c r="C89">
        <v>6</v>
      </c>
      <c r="D89" s="3">
        <v>1.5</v>
      </c>
      <c r="E89">
        <f>_xlfn.XLOOKUP(MPS[[#This Row],[Linea]],CAPACIDAD[Linea],CAPACIDAD[Capacidad día/Turno])*MPS[[#This Row],[Turnos]]</f>
        <v>72.423749999999998</v>
      </c>
    </row>
    <row r="90" spans="1:5" x14ac:dyDescent="0.3">
      <c r="A90" t="s">
        <v>2</v>
      </c>
      <c r="B90">
        <v>2025</v>
      </c>
      <c r="C90">
        <v>7</v>
      </c>
      <c r="D90" s="3">
        <v>1.5</v>
      </c>
      <c r="E90">
        <f>_xlfn.XLOOKUP(MPS[[#This Row],[Linea]],CAPACIDAD[Linea],CAPACIDAD[Capacidad día/Turno])*MPS[[#This Row],[Turnos]]</f>
        <v>72.423749999999998</v>
      </c>
    </row>
    <row r="91" spans="1:5" x14ac:dyDescent="0.3">
      <c r="A91" t="s">
        <v>2</v>
      </c>
      <c r="B91">
        <v>2025</v>
      </c>
      <c r="C91">
        <v>8</v>
      </c>
      <c r="D91" s="3">
        <v>1</v>
      </c>
      <c r="E91">
        <f>_xlfn.XLOOKUP(MPS[[#This Row],[Linea]],CAPACIDAD[Linea],CAPACIDAD[Capacidad día/Turno])*MPS[[#This Row],[Turnos]]</f>
        <v>48.282499999999999</v>
      </c>
    </row>
    <row r="92" spans="1:5" x14ac:dyDescent="0.3">
      <c r="A92" t="s">
        <v>2</v>
      </c>
      <c r="B92">
        <v>2025</v>
      </c>
      <c r="C92">
        <v>9</v>
      </c>
      <c r="D92" s="3">
        <v>1</v>
      </c>
      <c r="E92">
        <f>_xlfn.XLOOKUP(MPS[[#This Row],[Linea]],CAPACIDAD[Linea],CAPACIDAD[Capacidad día/Turno])*MPS[[#This Row],[Turnos]]</f>
        <v>48.282499999999999</v>
      </c>
    </row>
    <row r="93" spans="1:5" x14ac:dyDescent="0.3">
      <c r="A93" t="s">
        <v>2</v>
      </c>
      <c r="B93">
        <v>2025</v>
      </c>
      <c r="C93">
        <v>10</v>
      </c>
      <c r="D93" s="2">
        <v>1</v>
      </c>
      <c r="E93">
        <f>_xlfn.XLOOKUP(MPS[[#This Row],[Linea]],CAPACIDAD[Linea],CAPACIDAD[Capacidad día/Turno])*MPS[[#This Row],[Turnos]]</f>
        <v>48.282499999999999</v>
      </c>
    </row>
    <row r="94" spans="1:5" x14ac:dyDescent="0.3">
      <c r="A94" t="s">
        <v>2</v>
      </c>
      <c r="B94">
        <v>2025</v>
      </c>
      <c r="C94">
        <v>11</v>
      </c>
      <c r="D94" s="2">
        <v>1</v>
      </c>
      <c r="E94">
        <f>_xlfn.XLOOKUP(MPS[[#This Row],[Linea]],CAPACIDAD[Linea],CAPACIDAD[Capacidad día/Turno])*MPS[[#This Row],[Turnos]]</f>
        <v>48.282499999999999</v>
      </c>
    </row>
    <row r="95" spans="1:5" x14ac:dyDescent="0.3">
      <c r="A95" t="s">
        <v>2</v>
      </c>
      <c r="B95">
        <v>2025</v>
      </c>
      <c r="C95">
        <v>12</v>
      </c>
      <c r="D95" s="2">
        <v>1</v>
      </c>
      <c r="E95">
        <f>_xlfn.XLOOKUP(MPS[[#This Row],[Linea]],CAPACIDAD[Linea],CAPACIDAD[Capacidad día/Turno])*MPS[[#This Row],[Turnos]]</f>
        <v>48.282499999999999</v>
      </c>
    </row>
    <row r="96" spans="1:5" x14ac:dyDescent="0.3">
      <c r="A96" t="s">
        <v>2</v>
      </c>
      <c r="B96">
        <v>2025</v>
      </c>
      <c r="C96">
        <v>13</v>
      </c>
      <c r="D96" s="2">
        <v>1</v>
      </c>
      <c r="E96">
        <f>_xlfn.XLOOKUP(MPS[[#This Row],[Linea]],CAPACIDAD[Linea],CAPACIDAD[Capacidad día/Turno])*MPS[[#This Row],[Turnos]]</f>
        <v>48.282499999999999</v>
      </c>
    </row>
    <row r="97" spans="1:5" x14ac:dyDescent="0.3">
      <c r="A97" t="s">
        <v>2</v>
      </c>
      <c r="B97">
        <v>2025</v>
      </c>
      <c r="C97">
        <v>14</v>
      </c>
      <c r="D97" s="2">
        <v>1</v>
      </c>
      <c r="E97">
        <f>_xlfn.XLOOKUP(MPS[[#This Row],[Linea]],CAPACIDAD[Linea],CAPACIDAD[Capacidad día/Turno])*MPS[[#This Row],[Turnos]]</f>
        <v>48.282499999999999</v>
      </c>
    </row>
    <row r="98" spans="1:5" x14ac:dyDescent="0.3">
      <c r="A98" t="s">
        <v>2</v>
      </c>
      <c r="B98">
        <v>2025</v>
      </c>
      <c r="C98">
        <v>15</v>
      </c>
      <c r="D98" s="2">
        <v>1</v>
      </c>
      <c r="E98">
        <f>_xlfn.XLOOKUP(MPS[[#This Row],[Linea]],CAPACIDAD[Linea],CAPACIDAD[Capacidad día/Turno])*MPS[[#This Row],[Turnos]]</f>
        <v>48.282499999999999</v>
      </c>
    </row>
    <row r="99" spans="1:5" x14ac:dyDescent="0.3">
      <c r="A99" t="s">
        <v>2</v>
      </c>
      <c r="B99">
        <v>2025</v>
      </c>
      <c r="C99">
        <v>16</v>
      </c>
      <c r="D99" s="2">
        <v>0</v>
      </c>
      <c r="E99">
        <f>_xlfn.XLOOKUP(MPS[[#This Row],[Linea]],CAPACIDAD[Linea],CAPACIDAD[Capacidad día/Turno])*MPS[[#This Row],[Turnos]]</f>
        <v>0</v>
      </c>
    </row>
    <row r="100" spans="1:5" x14ac:dyDescent="0.3">
      <c r="A100" t="s">
        <v>2</v>
      </c>
      <c r="B100">
        <v>2025</v>
      </c>
      <c r="C100">
        <v>17</v>
      </c>
      <c r="D100" s="2">
        <v>1</v>
      </c>
      <c r="E100">
        <f>_xlfn.XLOOKUP(MPS[[#This Row],[Linea]],CAPACIDAD[Linea],CAPACIDAD[Capacidad día/Turno])*MPS[[#This Row],[Turnos]]</f>
        <v>48.282499999999999</v>
      </c>
    </row>
    <row r="101" spans="1:5" x14ac:dyDescent="0.3">
      <c r="A101" t="s">
        <v>2</v>
      </c>
      <c r="B101">
        <v>2025</v>
      </c>
      <c r="C101">
        <v>18</v>
      </c>
      <c r="D101" s="2">
        <v>1</v>
      </c>
      <c r="E101">
        <f>_xlfn.XLOOKUP(MPS[[#This Row],[Linea]],CAPACIDAD[Linea],CAPACIDAD[Capacidad día/Turno])*MPS[[#This Row],[Turnos]]</f>
        <v>48.282499999999999</v>
      </c>
    </row>
    <row r="102" spans="1:5" x14ac:dyDescent="0.3">
      <c r="A102" t="s">
        <v>2</v>
      </c>
      <c r="B102">
        <v>2025</v>
      </c>
      <c r="C102">
        <v>19</v>
      </c>
      <c r="D102" s="2">
        <v>1</v>
      </c>
      <c r="E102">
        <f>_xlfn.XLOOKUP(MPS[[#This Row],[Linea]],CAPACIDAD[Linea],CAPACIDAD[Capacidad día/Turno])*MPS[[#This Row],[Turnos]]</f>
        <v>48.282499999999999</v>
      </c>
    </row>
    <row r="103" spans="1:5" x14ac:dyDescent="0.3">
      <c r="A103" t="s">
        <v>2</v>
      </c>
      <c r="B103">
        <v>2025</v>
      </c>
      <c r="C103">
        <v>20</v>
      </c>
      <c r="D103" s="2">
        <v>1</v>
      </c>
      <c r="E103">
        <f>_xlfn.XLOOKUP(MPS[[#This Row],[Linea]],CAPACIDAD[Linea],CAPACIDAD[Capacidad día/Turno])*MPS[[#This Row],[Turnos]]</f>
        <v>48.282499999999999</v>
      </c>
    </row>
    <row r="104" spans="1:5" x14ac:dyDescent="0.3">
      <c r="A104" t="s">
        <v>2</v>
      </c>
      <c r="B104">
        <v>2025</v>
      </c>
      <c r="C104">
        <v>21</v>
      </c>
      <c r="D104" s="2">
        <v>1</v>
      </c>
      <c r="E104">
        <f>_xlfn.XLOOKUP(MPS[[#This Row],[Linea]],CAPACIDAD[Linea],CAPACIDAD[Capacidad día/Turno])*MPS[[#This Row],[Turnos]]</f>
        <v>48.282499999999999</v>
      </c>
    </row>
    <row r="105" spans="1:5" x14ac:dyDescent="0.3">
      <c r="A105" t="s">
        <v>2</v>
      </c>
      <c r="B105">
        <v>2025</v>
      </c>
      <c r="C105">
        <v>22</v>
      </c>
      <c r="D105" s="2">
        <v>1</v>
      </c>
      <c r="E105">
        <f>_xlfn.XLOOKUP(MPS[[#This Row],[Linea]],CAPACIDAD[Linea],CAPACIDAD[Capacidad día/Turno])*MPS[[#This Row],[Turnos]]</f>
        <v>48.282499999999999</v>
      </c>
    </row>
    <row r="106" spans="1:5" x14ac:dyDescent="0.3">
      <c r="A106" t="s">
        <v>2</v>
      </c>
      <c r="B106">
        <v>2025</v>
      </c>
      <c r="C106">
        <v>23</v>
      </c>
      <c r="D106" s="2">
        <v>1.5</v>
      </c>
      <c r="E106">
        <f>_xlfn.XLOOKUP(MPS[[#This Row],[Linea]],CAPACIDAD[Linea],CAPACIDAD[Capacidad día/Turno])*MPS[[#This Row],[Turnos]]</f>
        <v>72.423749999999998</v>
      </c>
    </row>
    <row r="107" spans="1:5" x14ac:dyDescent="0.3">
      <c r="A107" t="s">
        <v>2</v>
      </c>
      <c r="B107">
        <v>2025</v>
      </c>
      <c r="C107">
        <v>24</v>
      </c>
      <c r="D107" s="2">
        <v>1.5</v>
      </c>
      <c r="E107">
        <f>_xlfn.XLOOKUP(MPS[[#This Row],[Linea]],CAPACIDAD[Linea],CAPACIDAD[Capacidad día/Turno])*MPS[[#This Row],[Turnos]]</f>
        <v>72.423749999999998</v>
      </c>
    </row>
    <row r="108" spans="1:5" x14ac:dyDescent="0.3">
      <c r="A108" t="s">
        <v>2</v>
      </c>
      <c r="B108">
        <v>2025</v>
      </c>
      <c r="C108">
        <v>25</v>
      </c>
      <c r="D108" s="2">
        <v>1.5</v>
      </c>
      <c r="E108">
        <f>_xlfn.XLOOKUP(MPS[[#This Row],[Linea]],CAPACIDAD[Linea],CAPACIDAD[Capacidad día/Turno])*MPS[[#This Row],[Turnos]]</f>
        <v>72.423749999999998</v>
      </c>
    </row>
    <row r="109" spans="1:5" x14ac:dyDescent="0.3">
      <c r="A109" t="s">
        <v>2</v>
      </c>
      <c r="B109">
        <v>2025</v>
      </c>
      <c r="C109">
        <v>26</v>
      </c>
      <c r="D109" s="2">
        <v>1.5</v>
      </c>
      <c r="E109">
        <f>_xlfn.XLOOKUP(MPS[[#This Row],[Linea]],CAPACIDAD[Linea],CAPACIDAD[Capacidad día/Turno])*MPS[[#This Row],[Turnos]]</f>
        <v>72.423749999999998</v>
      </c>
    </row>
    <row r="110" spans="1:5" x14ac:dyDescent="0.3">
      <c r="A110" t="s">
        <v>2</v>
      </c>
      <c r="B110">
        <v>2025</v>
      </c>
      <c r="C110">
        <v>27</v>
      </c>
      <c r="D110" s="2">
        <v>1.5</v>
      </c>
      <c r="E110">
        <f>_xlfn.XLOOKUP(MPS[[#This Row],[Linea]],CAPACIDAD[Linea],CAPACIDAD[Capacidad día/Turno])*MPS[[#This Row],[Turnos]]</f>
        <v>72.423749999999998</v>
      </c>
    </row>
    <row r="111" spans="1:5" x14ac:dyDescent="0.3">
      <c r="A111" t="s">
        <v>2</v>
      </c>
      <c r="B111">
        <v>2025</v>
      </c>
      <c r="C111">
        <v>28</v>
      </c>
      <c r="D111" s="2">
        <v>1.5</v>
      </c>
      <c r="E111">
        <f>_xlfn.XLOOKUP(MPS[[#This Row],[Linea]],CAPACIDAD[Linea],CAPACIDAD[Capacidad día/Turno])*MPS[[#This Row],[Turnos]]</f>
        <v>72.423749999999998</v>
      </c>
    </row>
    <row r="112" spans="1:5" x14ac:dyDescent="0.3">
      <c r="A112" t="s">
        <v>2</v>
      </c>
      <c r="B112">
        <v>2025</v>
      </c>
      <c r="C112">
        <v>29</v>
      </c>
      <c r="D112" s="2">
        <v>1.5</v>
      </c>
      <c r="E112">
        <f>_xlfn.XLOOKUP(MPS[[#This Row],[Linea]],CAPACIDAD[Linea],CAPACIDAD[Capacidad día/Turno])*MPS[[#This Row],[Turnos]]</f>
        <v>72.423749999999998</v>
      </c>
    </row>
    <row r="113" spans="1:5" x14ac:dyDescent="0.3">
      <c r="A113" t="s">
        <v>2</v>
      </c>
      <c r="B113">
        <v>2025</v>
      </c>
      <c r="C113">
        <v>30</v>
      </c>
      <c r="D113" s="2">
        <v>1.5</v>
      </c>
      <c r="E113">
        <f>_xlfn.XLOOKUP(MPS[[#This Row],[Linea]],CAPACIDAD[Linea],CAPACIDAD[Capacidad día/Turno])*MPS[[#This Row],[Turnos]]</f>
        <v>72.423749999999998</v>
      </c>
    </row>
    <row r="114" spans="1:5" x14ac:dyDescent="0.3">
      <c r="A114" t="s">
        <v>2</v>
      </c>
      <c r="B114">
        <v>2025</v>
      </c>
      <c r="C114">
        <v>31</v>
      </c>
      <c r="D114" s="2">
        <v>1.5</v>
      </c>
      <c r="E114">
        <f>_xlfn.XLOOKUP(MPS[[#This Row],[Linea]],CAPACIDAD[Linea],CAPACIDAD[Capacidad día/Turno])*MPS[[#This Row],[Turnos]]</f>
        <v>72.423749999999998</v>
      </c>
    </row>
    <row r="115" spans="1:5" x14ac:dyDescent="0.3">
      <c r="A115" t="s">
        <v>2</v>
      </c>
      <c r="B115">
        <v>2025</v>
      </c>
      <c r="C115">
        <v>32</v>
      </c>
      <c r="D115" s="2">
        <v>1</v>
      </c>
      <c r="E115">
        <f>_xlfn.XLOOKUP(MPS[[#This Row],[Linea]],CAPACIDAD[Linea],CAPACIDAD[Capacidad día/Turno])*MPS[[#This Row],[Turnos]]</f>
        <v>48.282499999999999</v>
      </c>
    </row>
    <row r="116" spans="1:5" x14ac:dyDescent="0.3">
      <c r="A116" t="s">
        <v>2</v>
      </c>
      <c r="B116">
        <v>2025</v>
      </c>
      <c r="C116">
        <v>33</v>
      </c>
      <c r="D116" s="2">
        <v>0</v>
      </c>
      <c r="E116">
        <f>_xlfn.XLOOKUP(MPS[[#This Row],[Linea]],CAPACIDAD[Linea],CAPACIDAD[Capacidad día/Turno])*MPS[[#This Row],[Turnos]]</f>
        <v>0</v>
      </c>
    </row>
    <row r="117" spans="1:5" x14ac:dyDescent="0.3">
      <c r="A117" t="s">
        <v>2</v>
      </c>
      <c r="B117">
        <v>2025</v>
      </c>
      <c r="C117">
        <v>34</v>
      </c>
      <c r="D117" s="2">
        <v>0</v>
      </c>
      <c r="E117">
        <f>_xlfn.XLOOKUP(MPS[[#This Row],[Linea]],CAPACIDAD[Linea],CAPACIDAD[Capacidad día/Turno])*MPS[[#This Row],[Turnos]]</f>
        <v>0</v>
      </c>
    </row>
    <row r="118" spans="1:5" x14ac:dyDescent="0.3">
      <c r="A118" t="s">
        <v>2</v>
      </c>
      <c r="B118">
        <v>2025</v>
      </c>
      <c r="C118">
        <v>35</v>
      </c>
      <c r="D118" s="2">
        <v>0</v>
      </c>
      <c r="E118">
        <f>_xlfn.XLOOKUP(MPS[[#This Row],[Linea]],CAPACIDAD[Linea],CAPACIDAD[Capacidad día/Turno])*MPS[[#This Row],[Turnos]]</f>
        <v>0</v>
      </c>
    </row>
    <row r="119" spans="1:5" x14ac:dyDescent="0.3">
      <c r="A119" t="s">
        <v>3</v>
      </c>
      <c r="B119">
        <v>2024</v>
      </c>
      <c r="C119">
        <v>47</v>
      </c>
      <c r="D119" s="3">
        <v>1.5</v>
      </c>
      <c r="E119">
        <f>_xlfn.XLOOKUP(MPS[[#This Row],[Linea]],CAPACIDAD[Linea],CAPACIDAD[Capacidad día/Turno])*MPS[[#This Row],[Turnos]]</f>
        <v>29.9925</v>
      </c>
    </row>
    <row r="120" spans="1:5" x14ac:dyDescent="0.3">
      <c r="A120" t="s">
        <v>3</v>
      </c>
      <c r="B120">
        <v>2024</v>
      </c>
      <c r="C120">
        <v>48</v>
      </c>
      <c r="D120" s="2">
        <v>0.75</v>
      </c>
      <c r="E120">
        <f>_xlfn.XLOOKUP(MPS[[#This Row],[Linea]],CAPACIDAD[Linea],CAPACIDAD[Capacidad día/Turno])*MPS[[#This Row],[Turnos]]</f>
        <v>14.99625</v>
      </c>
    </row>
    <row r="121" spans="1:5" x14ac:dyDescent="0.3">
      <c r="A121" t="s">
        <v>3</v>
      </c>
      <c r="B121">
        <v>2024</v>
      </c>
      <c r="C121">
        <v>49</v>
      </c>
      <c r="D121" s="3">
        <v>0.75</v>
      </c>
      <c r="E121">
        <f>_xlfn.XLOOKUP(MPS[[#This Row],[Linea]],CAPACIDAD[Linea],CAPACIDAD[Capacidad día/Turno])*MPS[[#This Row],[Turnos]]</f>
        <v>14.99625</v>
      </c>
    </row>
    <row r="122" spans="1:5" x14ac:dyDescent="0.3">
      <c r="A122" t="s">
        <v>3</v>
      </c>
      <c r="B122">
        <v>2024</v>
      </c>
      <c r="C122">
        <v>50</v>
      </c>
      <c r="D122" s="2">
        <v>0</v>
      </c>
      <c r="E122">
        <f>_xlfn.XLOOKUP(MPS[[#This Row],[Linea]],CAPACIDAD[Linea],CAPACIDAD[Capacidad día/Turno])*MPS[[#This Row],[Turnos]]</f>
        <v>0</v>
      </c>
    </row>
    <row r="123" spans="1:5" x14ac:dyDescent="0.3">
      <c r="A123" t="s">
        <v>3</v>
      </c>
      <c r="B123">
        <v>2024</v>
      </c>
      <c r="C123">
        <v>51</v>
      </c>
      <c r="D123" s="3">
        <v>0.75</v>
      </c>
      <c r="E123">
        <f>_xlfn.XLOOKUP(MPS[[#This Row],[Linea]],CAPACIDAD[Linea],CAPACIDAD[Capacidad día/Turno])*MPS[[#This Row],[Turnos]]</f>
        <v>14.99625</v>
      </c>
    </row>
    <row r="124" spans="1:5" x14ac:dyDescent="0.3">
      <c r="A124" t="s">
        <v>3</v>
      </c>
      <c r="B124">
        <v>2025</v>
      </c>
      <c r="C124">
        <v>2</v>
      </c>
      <c r="D124" s="2">
        <v>1</v>
      </c>
      <c r="E124">
        <f>_xlfn.XLOOKUP(MPS[[#This Row],[Linea]],CAPACIDAD[Linea],CAPACIDAD[Capacidad día/Turno])*MPS[[#This Row],[Turnos]]</f>
        <v>19.995000000000001</v>
      </c>
    </row>
    <row r="125" spans="1:5" x14ac:dyDescent="0.3">
      <c r="A125" t="s">
        <v>3</v>
      </c>
      <c r="B125">
        <v>2025</v>
      </c>
      <c r="C125">
        <v>3</v>
      </c>
      <c r="D125" s="3">
        <v>1</v>
      </c>
      <c r="E125">
        <f>_xlfn.XLOOKUP(MPS[[#This Row],[Linea]],CAPACIDAD[Linea],CAPACIDAD[Capacidad día/Turno])*MPS[[#This Row],[Turnos]]</f>
        <v>19.995000000000001</v>
      </c>
    </row>
    <row r="126" spans="1:5" x14ac:dyDescent="0.3">
      <c r="A126" t="s">
        <v>3</v>
      </c>
      <c r="B126">
        <v>2025</v>
      </c>
      <c r="C126">
        <v>4</v>
      </c>
      <c r="D126" s="2">
        <v>1.6</v>
      </c>
      <c r="E126">
        <f>_xlfn.XLOOKUP(MPS[[#This Row],[Linea]],CAPACIDAD[Linea],CAPACIDAD[Capacidad día/Turno])*MPS[[#This Row],[Turnos]]</f>
        <v>31.992000000000004</v>
      </c>
    </row>
    <row r="127" spans="1:5" x14ac:dyDescent="0.3">
      <c r="A127" t="s">
        <v>3</v>
      </c>
      <c r="B127">
        <v>2025</v>
      </c>
      <c r="C127">
        <v>5</v>
      </c>
      <c r="D127" s="3">
        <v>1.6</v>
      </c>
      <c r="E127">
        <f>_xlfn.XLOOKUP(MPS[[#This Row],[Linea]],CAPACIDAD[Linea],CAPACIDAD[Capacidad día/Turno])*MPS[[#This Row],[Turnos]]</f>
        <v>31.992000000000004</v>
      </c>
    </row>
    <row r="128" spans="1:5" x14ac:dyDescent="0.3">
      <c r="A128" t="s">
        <v>3</v>
      </c>
      <c r="B128">
        <v>2025</v>
      </c>
      <c r="C128">
        <v>6</v>
      </c>
      <c r="D128" s="2">
        <v>1.6</v>
      </c>
      <c r="E128">
        <f>_xlfn.XLOOKUP(MPS[[#This Row],[Linea]],CAPACIDAD[Linea],CAPACIDAD[Capacidad día/Turno])*MPS[[#This Row],[Turnos]]</f>
        <v>31.992000000000004</v>
      </c>
    </row>
    <row r="129" spans="1:5" x14ac:dyDescent="0.3">
      <c r="A129" t="s">
        <v>3</v>
      </c>
      <c r="B129">
        <v>2025</v>
      </c>
      <c r="C129">
        <v>7</v>
      </c>
      <c r="D129" s="3">
        <v>1.6</v>
      </c>
      <c r="E129">
        <f>_xlfn.XLOOKUP(MPS[[#This Row],[Linea]],CAPACIDAD[Linea],CAPACIDAD[Capacidad día/Turno])*MPS[[#This Row],[Turnos]]</f>
        <v>31.992000000000004</v>
      </c>
    </row>
    <row r="130" spans="1:5" x14ac:dyDescent="0.3">
      <c r="A130" t="s">
        <v>3</v>
      </c>
      <c r="B130">
        <v>2025</v>
      </c>
      <c r="C130">
        <v>8</v>
      </c>
      <c r="D130" s="2">
        <v>1</v>
      </c>
      <c r="E130">
        <f>_xlfn.XLOOKUP(MPS[[#This Row],[Linea]],CAPACIDAD[Linea],CAPACIDAD[Capacidad día/Turno])*MPS[[#This Row],[Turnos]]</f>
        <v>19.995000000000001</v>
      </c>
    </row>
    <row r="131" spans="1:5" x14ac:dyDescent="0.3">
      <c r="A131" t="s">
        <v>3</v>
      </c>
      <c r="B131">
        <v>2025</v>
      </c>
      <c r="C131">
        <v>9</v>
      </c>
      <c r="D131" s="3">
        <v>1</v>
      </c>
      <c r="E131">
        <f>_xlfn.XLOOKUP(MPS[[#This Row],[Linea]],CAPACIDAD[Linea],CAPACIDAD[Capacidad día/Turno])*MPS[[#This Row],[Turnos]]</f>
        <v>19.995000000000001</v>
      </c>
    </row>
    <row r="132" spans="1:5" x14ac:dyDescent="0.3">
      <c r="A132" t="s">
        <v>3</v>
      </c>
      <c r="B132">
        <v>2025</v>
      </c>
      <c r="C132">
        <v>10</v>
      </c>
      <c r="D132" s="2">
        <v>1</v>
      </c>
      <c r="E132">
        <f>_xlfn.XLOOKUP(MPS[[#This Row],[Linea]],CAPACIDAD[Linea],CAPACIDAD[Capacidad día/Turno])*MPS[[#This Row],[Turnos]]</f>
        <v>19.995000000000001</v>
      </c>
    </row>
    <row r="133" spans="1:5" x14ac:dyDescent="0.3">
      <c r="A133" t="s">
        <v>3</v>
      </c>
      <c r="B133">
        <v>2025</v>
      </c>
      <c r="C133">
        <v>11</v>
      </c>
      <c r="D133" s="2">
        <v>1</v>
      </c>
      <c r="E133">
        <f>_xlfn.XLOOKUP(MPS[[#This Row],[Linea]],CAPACIDAD[Linea],CAPACIDAD[Capacidad día/Turno])*MPS[[#This Row],[Turnos]]</f>
        <v>19.995000000000001</v>
      </c>
    </row>
    <row r="134" spans="1:5" x14ac:dyDescent="0.3">
      <c r="A134" t="s">
        <v>3</v>
      </c>
      <c r="B134">
        <v>2025</v>
      </c>
      <c r="C134">
        <v>12</v>
      </c>
      <c r="D134" s="2">
        <v>2</v>
      </c>
      <c r="E134">
        <f>_xlfn.XLOOKUP(MPS[[#This Row],[Linea]],CAPACIDAD[Linea],CAPACIDAD[Capacidad día/Turno])*MPS[[#This Row],[Turnos]]</f>
        <v>39.99</v>
      </c>
    </row>
    <row r="135" spans="1:5" x14ac:dyDescent="0.3">
      <c r="A135" t="s">
        <v>3</v>
      </c>
      <c r="B135">
        <v>2025</v>
      </c>
      <c r="C135">
        <v>13</v>
      </c>
      <c r="D135" s="2">
        <v>2</v>
      </c>
      <c r="E135">
        <f>_xlfn.XLOOKUP(MPS[[#This Row],[Linea]],CAPACIDAD[Linea],CAPACIDAD[Capacidad día/Turno])*MPS[[#This Row],[Turnos]]</f>
        <v>39.99</v>
      </c>
    </row>
    <row r="136" spans="1:5" x14ac:dyDescent="0.3">
      <c r="A136" t="s">
        <v>3</v>
      </c>
      <c r="B136">
        <v>2025</v>
      </c>
      <c r="C136">
        <v>14</v>
      </c>
      <c r="D136" s="2">
        <v>2</v>
      </c>
      <c r="E136">
        <f>_xlfn.XLOOKUP(MPS[[#This Row],[Linea]],CAPACIDAD[Linea],CAPACIDAD[Capacidad día/Turno])*MPS[[#This Row],[Turnos]]</f>
        <v>39.99</v>
      </c>
    </row>
    <row r="137" spans="1:5" x14ac:dyDescent="0.3">
      <c r="A137" t="s">
        <v>3</v>
      </c>
      <c r="B137">
        <v>2025</v>
      </c>
      <c r="C137">
        <v>15</v>
      </c>
      <c r="D137" s="2">
        <v>2</v>
      </c>
      <c r="E137">
        <f>_xlfn.XLOOKUP(MPS[[#This Row],[Linea]],CAPACIDAD[Linea],CAPACIDAD[Capacidad día/Turno])*MPS[[#This Row],[Turnos]]</f>
        <v>39.99</v>
      </c>
    </row>
    <row r="138" spans="1:5" x14ac:dyDescent="0.3">
      <c r="A138" t="s">
        <v>3</v>
      </c>
      <c r="B138">
        <v>2025</v>
      </c>
      <c r="C138">
        <v>16</v>
      </c>
      <c r="D138" s="2">
        <v>0</v>
      </c>
      <c r="E138">
        <f>_xlfn.XLOOKUP(MPS[[#This Row],[Linea]],CAPACIDAD[Linea],CAPACIDAD[Capacidad día/Turno])*MPS[[#This Row],[Turnos]]</f>
        <v>0</v>
      </c>
    </row>
    <row r="139" spans="1:5" x14ac:dyDescent="0.3">
      <c r="A139" t="s">
        <v>3</v>
      </c>
      <c r="B139">
        <v>2025</v>
      </c>
      <c r="C139">
        <v>17</v>
      </c>
      <c r="D139" s="2">
        <v>2</v>
      </c>
      <c r="E139">
        <f>_xlfn.XLOOKUP(MPS[[#This Row],[Linea]],CAPACIDAD[Linea],CAPACIDAD[Capacidad día/Turno])*MPS[[#This Row],[Turnos]]</f>
        <v>39.99</v>
      </c>
    </row>
    <row r="140" spans="1:5" x14ac:dyDescent="0.3">
      <c r="A140" t="s">
        <v>3</v>
      </c>
      <c r="B140">
        <v>2025</v>
      </c>
      <c r="C140">
        <v>18</v>
      </c>
      <c r="D140" s="2">
        <v>2</v>
      </c>
      <c r="E140">
        <f>_xlfn.XLOOKUP(MPS[[#This Row],[Linea]],CAPACIDAD[Linea],CAPACIDAD[Capacidad día/Turno])*MPS[[#This Row],[Turnos]]</f>
        <v>39.99</v>
      </c>
    </row>
    <row r="141" spans="1:5" x14ac:dyDescent="0.3">
      <c r="A141" t="s">
        <v>3</v>
      </c>
      <c r="B141">
        <v>2025</v>
      </c>
      <c r="C141">
        <v>19</v>
      </c>
      <c r="D141" s="2">
        <v>2</v>
      </c>
      <c r="E141">
        <f>_xlfn.XLOOKUP(MPS[[#This Row],[Linea]],CAPACIDAD[Linea],CAPACIDAD[Capacidad día/Turno])*MPS[[#This Row],[Turnos]]</f>
        <v>39.99</v>
      </c>
    </row>
    <row r="142" spans="1:5" x14ac:dyDescent="0.3">
      <c r="A142" t="s">
        <v>3</v>
      </c>
      <c r="B142">
        <v>2025</v>
      </c>
      <c r="C142">
        <v>20</v>
      </c>
      <c r="D142" s="2">
        <v>2</v>
      </c>
      <c r="E142">
        <f>_xlfn.XLOOKUP(MPS[[#This Row],[Linea]],CAPACIDAD[Linea],CAPACIDAD[Capacidad día/Turno])*MPS[[#This Row],[Turnos]]</f>
        <v>39.99</v>
      </c>
    </row>
    <row r="143" spans="1:5" x14ac:dyDescent="0.3">
      <c r="A143" t="s">
        <v>3</v>
      </c>
      <c r="B143">
        <v>2025</v>
      </c>
      <c r="C143">
        <v>21</v>
      </c>
      <c r="D143" s="2">
        <v>2</v>
      </c>
      <c r="E143">
        <f>_xlfn.XLOOKUP(MPS[[#This Row],[Linea]],CAPACIDAD[Linea],CAPACIDAD[Capacidad día/Turno])*MPS[[#This Row],[Turnos]]</f>
        <v>39.99</v>
      </c>
    </row>
    <row r="144" spans="1:5" x14ac:dyDescent="0.3">
      <c r="A144" t="s">
        <v>3</v>
      </c>
      <c r="B144">
        <v>2025</v>
      </c>
      <c r="C144">
        <v>22</v>
      </c>
      <c r="D144" s="2">
        <v>2</v>
      </c>
      <c r="E144">
        <f>_xlfn.XLOOKUP(MPS[[#This Row],[Linea]],CAPACIDAD[Linea],CAPACIDAD[Capacidad día/Turno])*MPS[[#This Row],[Turnos]]</f>
        <v>39.99</v>
      </c>
    </row>
    <row r="145" spans="1:5" x14ac:dyDescent="0.3">
      <c r="A145" t="s">
        <v>3</v>
      </c>
      <c r="B145">
        <v>2025</v>
      </c>
      <c r="C145">
        <v>23</v>
      </c>
      <c r="D145" s="2">
        <v>2</v>
      </c>
      <c r="E145">
        <f>_xlfn.XLOOKUP(MPS[[#This Row],[Linea]],CAPACIDAD[Linea],CAPACIDAD[Capacidad día/Turno])*MPS[[#This Row],[Turnos]]</f>
        <v>39.99</v>
      </c>
    </row>
    <row r="146" spans="1:5" x14ac:dyDescent="0.3">
      <c r="A146" t="s">
        <v>3</v>
      </c>
      <c r="B146">
        <v>2025</v>
      </c>
      <c r="C146">
        <v>24</v>
      </c>
      <c r="D146" s="2">
        <v>2</v>
      </c>
      <c r="E146">
        <f>_xlfn.XLOOKUP(MPS[[#This Row],[Linea]],CAPACIDAD[Linea],CAPACIDAD[Capacidad día/Turno])*MPS[[#This Row],[Turnos]]</f>
        <v>39.99</v>
      </c>
    </row>
    <row r="147" spans="1:5" x14ac:dyDescent="0.3">
      <c r="A147" t="s">
        <v>3</v>
      </c>
      <c r="B147">
        <v>2025</v>
      </c>
      <c r="C147">
        <v>25</v>
      </c>
      <c r="D147" s="2">
        <v>2</v>
      </c>
      <c r="E147">
        <f>_xlfn.XLOOKUP(MPS[[#This Row],[Linea]],CAPACIDAD[Linea],CAPACIDAD[Capacidad día/Turno])*MPS[[#This Row],[Turnos]]</f>
        <v>39.99</v>
      </c>
    </row>
    <row r="148" spans="1:5" x14ac:dyDescent="0.3">
      <c r="A148" t="s">
        <v>3</v>
      </c>
      <c r="B148">
        <v>2025</v>
      </c>
      <c r="C148">
        <v>26</v>
      </c>
      <c r="D148" s="2">
        <v>2</v>
      </c>
      <c r="E148">
        <f>_xlfn.XLOOKUP(MPS[[#This Row],[Linea]],CAPACIDAD[Linea],CAPACIDAD[Capacidad día/Turno])*MPS[[#This Row],[Turnos]]</f>
        <v>39.99</v>
      </c>
    </row>
    <row r="149" spans="1:5" x14ac:dyDescent="0.3">
      <c r="A149" t="s">
        <v>3</v>
      </c>
      <c r="B149">
        <v>2025</v>
      </c>
      <c r="C149">
        <v>27</v>
      </c>
      <c r="D149" s="2">
        <v>2</v>
      </c>
      <c r="E149">
        <f>_xlfn.XLOOKUP(MPS[[#This Row],[Linea]],CAPACIDAD[Linea],CAPACIDAD[Capacidad día/Turno])*MPS[[#This Row],[Turnos]]</f>
        <v>39.99</v>
      </c>
    </row>
    <row r="150" spans="1:5" x14ac:dyDescent="0.3">
      <c r="A150" t="s">
        <v>3</v>
      </c>
      <c r="B150">
        <v>2025</v>
      </c>
      <c r="C150">
        <v>28</v>
      </c>
      <c r="D150" s="2">
        <v>2</v>
      </c>
      <c r="E150">
        <f>_xlfn.XLOOKUP(MPS[[#This Row],[Linea]],CAPACIDAD[Linea],CAPACIDAD[Capacidad día/Turno])*MPS[[#This Row],[Turnos]]</f>
        <v>39.99</v>
      </c>
    </row>
    <row r="151" spans="1:5" x14ac:dyDescent="0.3">
      <c r="A151" t="s">
        <v>3</v>
      </c>
      <c r="B151">
        <v>2025</v>
      </c>
      <c r="C151">
        <v>29</v>
      </c>
      <c r="D151" s="2">
        <v>2</v>
      </c>
      <c r="E151">
        <f>_xlfn.XLOOKUP(MPS[[#This Row],[Linea]],CAPACIDAD[Linea],CAPACIDAD[Capacidad día/Turno])*MPS[[#This Row],[Turnos]]</f>
        <v>39.99</v>
      </c>
    </row>
    <row r="152" spans="1:5" x14ac:dyDescent="0.3">
      <c r="A152" t="s">
        <v>3</v>
      </c>
      <c r="B152">
        <v>2025</v>
      </c>
      <c r="C152">
        <v>30</v>
      </c>
      <c r="D152" s="2">
        <v>2</v>
      </c>
      <c r="E152">
        <f>_xlfn.XLOOKUP(MPS[[#This Row],[Linea]],CAPACIDAD[Linea],CAPACIDAD[Capacidad día/Turno])*MPS[[#This Row],[Turnos]]</f>
        <v>39.99</v>
      </c>
    </row>
    <row r="153" spans="1:5" x14ac:dyDescent="0.3">
      <c r="A153" t="s">
        <v>3</v>
      </c>
      <c r="B153">
        <v>2025</v>
      </c>
      <c r="C153">
        <v>31</v>
      </c>
      <c r="D153" s="2">
        <v>2</v>
      </c>
      <c r="E153">
        <f>_xlfn.XLOOKUP(MPS[[#This Row],[Linea]],CAPACIDAD[Linea],CAPACIDAD[Capacidad día/Turno])*MPS[[#This Row],[Turnos]]</f>
        <v>39.99</v>
      </c>
    </row>
    <row r="154" spans="1:5" x14ac:dyDescent="0.3">
      <c r="A154" t="s">
        <v>3</v>
      </c>
      <c r="B154">
        <v>2025</v>
      </c>
      <c r="C154">
        <v>32</v>
      </c>
      <c r="D154" s="2">
        <v>0</v>
      </c>
      <c r="E154">
        <f>_xlfn.XLOOKUP(MPS[[#This Row],[Linea]],CAPACIDAD[Linea],CAPACIDAD[Capacidad día/Turno])*MPS[[#This Row],[Turnos]]</f>
        <v>0</v>
      </c>
    </row>
    <row r="155" spans="1:5" x14ac:dyDescent="0.3">
      <c r="A155" t="s">
        <v>3</v>
      </c>
      <c r="B155">
        <v>2025</v>
      </c>
      <c r="C155">
        <v>33</v>
      </c>
      <c r="D155" s="2">
        <v>0</v>
      </c>
      <c r="E155">
        <f>_xlfn.XLOOKUP(MPS[[#This Row],[Linea]],CAPACIDAD[Linea],CAPACIDAD[Capacidad día/Turno])*MPS[[#This Row],[Turnos]]</f>
        <v>0</v>
      </c>
    </row>
    <row r="156" spans="1:5" x14ac:dyDescent="0.3">
      <c r="A156" t="s">
        <v>3</v>
      </c>
      <c r="B156">
        <v>2025</v>
      </c>
      <c r="C156">
        <v>34</v>
      </c>
      <c r="D156" s="2">
        <v>0</v>
      </c>
      <c r="E156">
        <f>_xlfn.XLOOKUP(MPS[[#This Row],[Linea]],CAPACIDAD[Linea],CAPACIDAD[Capacidad día/Turno])*MPS[[#This Row],[Turnos]]</f>
        <v>0</v>
      </c>
    </row>
    <row r="157" spans="1:5" x14ac:dyDescent="0.3">
      <c r="A157" t="s">
        <v>3</v>
      </c>
      <c r="B157">
        <v>2025</v>
      </c>
      <c r="C157">
        <v>35</v>
      </c>
      <c r="D157" s="2">
        <v>0</v>
      </c>
      <c r="E157">
        <f>_xlfn.XLOOKUP(MPS[[#This Row],[Linea]],CAPACIDAD[Linea],CAPACIDAD[Capacidad día/Turno])*MPS[[#This Row],[Turnos]]</f>
        <v>0</v>
      </c>
    </row>
    <row r="158" spans="1:5" x14ac:dyDescent="0.3">
      <c r="A158" t="s">
        <v>4</v>
      </c>
      <c r="B158">
        <v>2024</v>
      </c>
      <c r="C158">
        <v>47</v>
      </c>
      <c r="D158" s="2">
        <v>0</v>
      </c>
      <c r="E158">
        <f>_xlfn.XLOOKUP(MPS[[#This Row],[Linea]],CAPACIDAD[Linea],CAPACIDAD[Capacidad día/Turno])*MPS[[#This Row],[Turnos]]</f>
        <v>0</v>
      </c>
    </row>
    <row r="159" spans="1:5" x14ac:dyDescent="0.3">
      <c r="A159" t="s">
        <v>4</v>
      </c>
      <c r="B159">
        <v>2024</v>
      </c>
      <c r="C159">
        <v>48</v>
      </c>
      <c r="D159" s="3">
        <v>0</v>
      </c>
      <c r="E159">
        <f>_xlfn.XLOOKUP(MPS[[#This Row],[Linea]],CAPACIDAD[Linea],CAPACIDAD[Capacidad día/Turno])*MPS[[#This Row],[Turnos]]</f>
        <v>0</v>
      </c>
    </row>
    <row r="160" spans="1:5" x14ac:dyDescent="0.3">
      <c r="A160" t="s">
        <v>4</v>
      </c>
      <c r="B160">
        <v>2024</v>
      </c>
      <c r="C160">
        <v>49</v>
      </c>
      <c r="D160" s="2">
        <v>0</v>
      </c>
      <c r="E160">
        <f>_xlfn.XLOOKUP(MPS[[#This Row],[Linea]],CAPACIDAD[Linea],CAPACIDAD[Capacidad día/Turno])*MPS[[#This Row],[Turnos]]</f>
        <v>0</v>
      </c>
    </row>
    <row r="161" spans="1:5" x14ac:dyDescent="0.3">
      <c r="A161" t="s">
        <v>4</v>
      </c>
      <c r="B161">
        <v>2024</v>
      </c>
      <c r="C161">
        <v>50</v>
      </c>
      <c r="D161" s="3">
        <v>0</v>
      </c>
      <c r="E161">
        <f>_xlfn.XLOOKUP(MPS[[#This Row],[Linea]],CAPACIDAD[Linea],CAPACIDAD[Capacidad día/Turno])*MPS[[#This Row],[Turnos]]</f>
        <v>0</v>
      </c>
    </row>
    <row r="162" spans="1:5" x14ac:dyDescent="0.3">
      <c r="A162" t="s">
        <v>4</v>
      </c>
      <c r="B162">
        <v>2024</v>
      </c>
      <c r="C162">
        <v>51</v>
      </c>
      <c r="D162" s="2">
        <v>0</v>
      </c>
      <c r="E162">
        <f>_xlfn.XLOOKUP(MPS[[#This Row],[Linea]],CAPACIDAD[Linea],CAPACIDAD[Capacidad día/Turno])*MPS[[#This Row],[Turnos]]</f>
        <v>0</v>
      </c>
    </row>
    <row r="163" spans="1:5" x14ac:dyDescent="0.3">
      <c r="A163" t="s">
        <v>4</v>
      </c>
      <c r="B163">
        <v>2025</v>
      </c>
      <c r="C163">
        <v>2</v>
      </c>
      <c r="D163" s="3">
        <v>0</v>
      </c>
      <c r="E163">
        <f>_xlfn.XLOOKUP(MPS[[#This Row],[Linea]],CAPACIDAD[Linea],CAPACIDAD[Capacidad día/Turno])*MPS[[#This Row],[Turnos]]</f>
        <v>0</v>
      </c>
    </row>
    <row r="164" spans="1:5" x14ac:dyDescent="0.3">
      <c r="A164" t="s">
        <v>4</v>
      </c>
      <c r="B164">
        <v>2025</v>
      </c>
      <c r="C164">
        <v>3</v>
      </c>
      <c r="D164" s="2">
        <v>0</v>
      </c>
      <c r="E164">
        <f>_xlfn.XLOOKUP(MPS[[#This Row],[Linea]],CAPACIDAD[Linea],CAPACIDAD[Capacidad día/Turno])*MPS[[#This Row],[Turnos]]</f>
        <v>0</v>
      </c>
    </row>
    <row r="165" spans="1:5" x14ac:dyDescent="0.3">
      <c r="A165" t="s">
        <v>4</v>
      </c>
      <c r="B165">
        <v>2025</v>
      </c>
      <c r="C165">
        <v>4</v>
      </c>
      <c r="D165" s="3">
        <v>0</v>
      </c>
      <c r="E165">
        <f>_xlfn.XLOOKUP(MPS[[#This Row],[Linea]],CAPACIDAD[Linea],CAPACIDAD[Capacidad día/Turno])*MPS[[#This Row],[Turnos]]</f>
        <v>0</v>
      </c>
    </row>
    <row r="166" spans="1:5" x14ac:dyDescent="0.3">
      <c r="A166" t="s">
        <v>4</v>
      </c>
      <c r="B166">
        <v>2025</v>
      </c>
      <c r="C166">
        <v>5</v>
      </c>
      <c r="D166" s="2">
        <v>0</v>
      </c>
      <c r="E166">
        <f>_xlfn.XLOOKUP(MPS[[#This Row],[Linea]],CAPACIDAD[Linea],CAPACIDAD[Capacidad día/Turno])*MPS[[#This Row],[Turnos]]</f>
        <v>0</v>
      </c>
    </row>
    <row r="167" spans="1:5" x14ac:dyDescent="0.3">
      <c r="A167" t="s">
        <v>4</v>
      </c>
      <c r="B167">
        <v>2025</v>
      </c>
      <c r="C167">
        <v>6</v>
      </c>
      <c r="D167" s="3">
        <v>0</v>
      </c>
      <c r="E167">
        <f>_xlfn.XLOOKUP(MPS[[#This Row],[Linea]],CAPACIDAD[Linea],CAPACIDAD[Capacidad día/Turno])*MPS[[#This Row],[Turnos]]</f>
        <v>0</v>
      </c>
    </row>
    <row r="168" spans="1:5" x14ac:dyDescent="0.3">
      <c r="A168" t="s">
        <v>4</v>
      </c>
      <c r="B168">
        <v>2025</v>
      </c>
      <c r="C168">
        <v>7</v>
      </c>
      <c r="D168" s="2">
        <v>0</v>
      </c>
      <c r="E168">
        <f>_xlfn.XLOOKUP(MPS[[#This Row],[Linea]],CAPACIDAD[Linea],CAPACIDAD[Capacidad día/Turno])*MPS[[#This Row],[Turnos]]</f>
        <v>0</v>
      </c>
    </row>
    <row r="169" spans="1:5" x14ac:dyDescent="0.3">
      <c r="A169" t="s">
        <v>4</v>
      </c>
      <c r="B169">
        <v>2025</v>
      </c>
      <c r="C169">
        <v>8</v>
      </c>
      <c r="D169" s="3">
        <v>0</v>
      </c>
      <c r="E169">
        <f>_xlfn.XLOOKUP(MPS[[#This Row],[Linea]],CAPACIDAD[Linea],CAPACIDAD[Capacidad día/Turno])*MPS[[#This Row],[Turnos]]</f>
        <v>0</v>
      </c>
    </row>
    <row r="170" spans="1:5" x14ac:dyDescent="0.3">
      <c r="A170" t="s">
        <v>4</v>
      </c>
      <c r="B170">
        <v>2025</v>
      </c>
      <c r="C170">
        <v>9</v>
      </c>
      <c r="D170" s="2">
        <v>0</v>
      </c>
      <c r="E170">
        <f>_xlfn.XLOOKUP(MPS[[#This Row],[Linea]],CAPACIDAD[Linea],CAPACIDAD[Capacidad día/Turno])*MPS[[#This Row],[Turnos]]</f>
        <v>0</v>
      </c>
    </row>
    <row r="171" spans="1:5" x14ac:dyDescent="0.3">
      <c r="A171" t="s">
        <v>4</v>
      </c>
      <c r="B171">
        <v>2025</v>
      </c>
      <c r="C171">
        <v>10</v>
      </c>
      <c r="D171" s="2">
        <v>0</v>
      </c>
      <c r="E171">
        <f>_xlfn.XLOOKUP(MPS[[#This Row],[Linea]],CAPACIDAD[Linea],CAPACIDAD[Capacidad día/Turno])*MPS[[#This Row],[Turnos]]</f>
        <v>0</v>
      </c>
    </row>
    <row r="172" spans="1:5" x14ac:dyDescent="0.3">
      <c r="A172" t="s">
        <v>14</v>
      </c>
      <c r="B172">
        <v>2024</v>
      </c>
      <c r="C172">
        <v>47</v>
      </c>
      <c r="D172" s="3">
        <v>0.5</v>
      </c>
      <c r="E172">
        <f>_xlfn.XLOOKUP(MPS[[#This Row],[Linea]],CAPACIDAD[Linea],CAPACIDAD[Capacidad día/Turno])*MPS[[#This Row],[Turnos]]</f>
        <v>25.768749999999997</v>
      </c>
    </row>
    <row r="173" spans="1:5" x14ac:dyDescent="0.3">
      <c r="A173" t="s">
        <v>14</v>
      </c>
      <c r="B173">
        <v>2024</v>
      </c>
      <c r="C173">
        <v>48</v>
      </c>
      <c r="D173" s="2">
        <v>0</v>
      </c>
      <c r="E173">
        <f>_xlfn.XLOOKUP(MPS[[#This Row],[Linea]],CAPACIDAD[Linea],CAPACIDAD[Capacidad día/Turno])*MPS[[#This Row],[Turnos]]</f>
        <v>0</v>
      </c>
    </row>
    <row r="174" spans="1:5" x14ac:dyDescent="0.3">
      <c r="A174" t="s">
        <v>14</v>
      </c>
      <c r="B174">
        <v>2024</v>
      </c>
      <c r="C174">
        <v>49</v>
      </c>
      <c r="D174" s="3">
        <v>0.25</v>
      </c>
      <c r="E174">
        <f>_xlfn.XLOOKUP(MPS[[#This Row],[Linea]],CAPACIDAD[Linea],CAPACIDAD[Capacidad día/Turno])*MPS[[#This Row],[Turnos]]</f>
        <v>12.884374999999999</v>
      </c>
    </row>
    <row r="175" spans="1:5" x14ac:dyDescent="0.3">
      <c r="A175" t="s">
        <v>14</v>
      </c>
      <c r="B175">
        <v>2024</v>
      </c>
      <c r="C175">
        <v>50</v>
      </c>
      <c r="D175" s="3">
        <v>0.25</v>
      </c>
      <c r="E175">
        <f>_xlfn.XLOOKUP(MPS[[#This Row],[Linea]],CAPACIDAD[Linea],CAPACIDAD[Capacidad día/Turno])*MPS[[#This Row],[Turnos]]</f>
        <v>12.884374999999999</v>
      </c>
    </row>
    <row r="176" spans="1:5" x14ac:dyDescent="0.3">
      <c r="A176" t="s">
        <v>14</v>
      </c>
      <c r="B176">
        <v>2024</v>
      </c>
      <c r="C176">
        <v>51</v>
      </c>
      <c r="D176" s="3">
        <v>1</v>
      </c>
      <c r="E176">
        <f>_xlfn.XLOOKUP(MPS[[#This Row],[Linea]],CAPACIDAD[Linea],CAPACIDAD[Capacidad día/Turno])*MPS[[#This Row],[Turnos]]</f>
        <v>51.537499999999994</v>
      </c>
    </row>
    <row r="177" spans="1:5" x14ac:dyDescent="0.3">
      <c r="A177" t="s">
        <v>14</v>
      </c>
      <c r="B177">
        <v>2025</v>
      </c>
      <c r="C177">
        <v>2</v>
      </c>
      <c r="D177" s="2">
        <v>0.5</v>
      </c>
      <c r="E177">
        <f>_xlfn.XLOOKUP(MPS[[#This Row],[Linea]],CAPACIDAD[Linea],CAPACIDAD[Capacidad día/Turno])*MPS[[#This Row],[Turnos]]</f>
        <v>25.768749999999997</v>
      </c>
    </row>
    <row r="178" spans="1:5" x14ac:dyDescent="0.3">
      <c r="A178" t="s">
        <v>14</v>
      </c>
      <c r="B178">
        <v>2025</v>
      </c>
      <c r="C178">
        <v>3</v>
      </c>
      <c r="D178" s="3">
        <v>0.5</v>
      </c>
      <c r="E178">
        <f>_xlfn.XLOOKUP(MPS[[#This Row],[Linea]],CAPACIDAD[Linea],CAPACIDAD[Capacidad día/Turno])*MPS[[#This Row],[Turnos]]</f>
        <v>25.768749999999997</v>
      </c>
    </row>
    <row r="179" spans="1:5" x14ac:dyDescent="0.3">
      <c r="A179" t="s">
        <v>14</v>
      </c>
      <c r="B179">
        <v>2025</v>
      </c>
      <c r="C179">
        <v>4</v>
      </c>
      <c r="D179" s="2">
        <v>0.5</v>
      </c>
      <c r="E179">
        <f>_xlfn.XLOOKUP(MPS[[#This Row],[Linea]],CAPACIDAD[Linea],CAPACIDAD[Capacidad día/Turno])*MPS[[#This Row],[Turnos]]</f>
        <v>25.768749999999997</v>
      </c>
    </row>
    <row r="180" spans="1:5" x14ac:dyDescent="0.3">
      <c r="A180" t="s">
        <v>14</v>
      </c>
      <c r="B180">
        <v>2025</v>
      </c>
      <c r="C180">
        <v>5</v>
      </c>
      <c r="D180" s="2">
        <v>0.5</v>
      </c>
      <c r="E180">
        <f>_xlfn.XLOOKUP(MPS[[#This Row],[Linea]],CAPACIDAD[Linea],CAPACIDAD[Capacidad día/Turno])*MPS[[#This Row],[Turnos]]</f>
        <v>25.768749999999997</v>
      </c>
    </row>
    <row r="181" spans="1:5" x14ac:dyDescent="0.3">
      <c r="A181" t="s">
        <v>14</v>
      </c>
      <c r="B181">
        <v>2025</v>
      </c>
      <c r="C181">
        <v>6</v>
      </c>
      <c r="D181" s="2">
        <v>0.75</v>
      </c>
      <c r="E181">
        <f>_xlfn.XLOOKUP(MPS[[#This Row],[Linea]],CAPACIDAD[Linea],CAPACIDAD[Capacidad día/Turno])*MPS[[#This Row],[Turnos]]</f>
        <v>38.653124999999996</v>
      </c>
    </row>
    <row r="182" spans="1:5" x14ac:dyDescent="0.3">
      <c r="A182" t="s">
        <v>14</v>
      </c>
      <c r="B182">
        <v>2025</v>
      </c>
      <c r="C182">
        <v>7</v>
      </c>
      <c r="D182" s="3">
        <v>0.75</v>
      </c>
      <c r="E182">
        <f>_xlfn.XLOOKUP(MPS[[#This Row],[Linea]],CAPACIDAD[Linea],CAPACIDAD[Capacidad día/Turno])*MPS[[#This Row],[Turnos]]</f>
        <v>38.653124999999996</v>
      </c>
    </row>
    <row r="183" spans="1:5" x14ac:dyDescent="0.3">
      <c r="A183" t="s">
        <v>14</v>
      </c>
      <c r="B183">
        <v>2025</v>
      </c>
      <c r="C183">
        <v>8</v>
      </c>
      <c r="D183" s="2">
        <v>0.75</v>
      </c>
      <c r="E183">
        <f>_xlfn.XLOOKUP(MPS[[#This Row],[Linea]],CAPACIDAD[Linea],CAPACIDAD[Capacidad día/Turno])*MPS[[#This Row],[Turnos]]</f>
        <v>38.653124999999996</v>
      </c>
    </row>
    <row r="184" spans="1:5" x14ac:dyDescent="0.3">
      <c r="A184" t="s">
        <v>14</v>
      </c>
      <c r="B184">
        <v>2025</v>
      </c>
      <c r="C184">
        <v>9</v>
      </c>
      <c r="D184" s="3">
        <v>0.5</v>
      </c>
      <c r="E184">
        <f>_xlfn.XLOOKUP(MPS[[#This Row],[Linea]],CAPACIDAD[Linea],CAPACIDAD[Capacidad día/Turno])*MPS[[#This Row],[Turnos]]</f>
        <v>25.768749999999997</v>
      </c>
    </row>
    <row r="185" spans="1:5" x14ac:dyDescent="0.3">
      <c r="A185" t="s">
        <v>14</v>
      </c>
      <c r="B185">
        <v>2025</v>
      </c>
      <c r="C185">
        <v>10</v>
      </c>
      <c r="D185" s="2">
        <v>0.5</v>
      </c>
      <c r="E185">
        <f>_xlfn.XLOOKUP(MPS[[#This Row],[Linea]],CAPACIDAD[Linea],CAPACIDAD[Capacidad día/Turno])*MPS[[#This Row],[Turnos]]</f>
        <v>25.768749999999997</v>
      </c>
    </row>
    <row r="186" spans="1:5" x14ac:dyDescent="0.3">
      <c r="A186" t="s">
        <v>14</v>
      </c>
      <c r="B186">
        <v>2025</v>
      </c>
      <c r="C186">
        <v>11</v>
      </c>
      <c r="D186" s="2">
        <v>0.5</v>
      </c>
      <c r="E186">
        <f>_xlfn.XLOOKUP(MPS[[#This Row],[Linea]],CAPACIDAD[Linea],CAPACIDAD[Capacidad día/Turno])*MPS[[#This Row],[Turnos]]</f>
        <v>25.768749999999997</v>
      </c>
    </row>
    <row r="187" spans="1:5" x14ac:dyDescent="0.3">
      <c r="A187" t="s">
        <v>14</v>
      </c>
      <c r="B187">
        <v>2025</v>
      </c>
      <c r="C187">
        <v>12</v>
      </c>
      <c r="D187" s="2">
        <v>0.5</v>
      </c>
      <c r="E187">
        <f>_xlfn.XLOOKUP(MPS[[#This Row],[Linea]],CAPACIDAD[Linea],CAPACIDAD[Capacidad día/Turno])*MPS[[#This Row],[Turnos]]</f>
        <v>25.768749999999997</v>
      </c>
    </row>
    <row r="188" spans="1:5" x14ac:dyDescent="0.3">
      <c r="A188" t="s">
        <v>14</v>
      </c>
      <c r="B188">
        <v>2025</v>
      </c>
      <c r="C188">
        <v>13</v>
      </c>
      <c r="D188" s="2">
        <v>0</v>
      </c>
      <c r="E188">
        <f>_xlfn.XLOOKUP(MPS[[#This Row],[Linea]],CAPACIDAD[Linea],CAPACIDAD[Capacidad día/Turno])*MPS[[#This Row],[Turnos]]</f>
        <v>0</v>
      </c>
    </row>
    <row r="189" spans="1:5" x14ac:dyDescent="0.3">
      <c r="A189" t="s">
        <v>14</v>
      </c>
      <c r="B189">
        <v>2025</v>
      </c>
      <c r="C189">
        <v>14</v>
      </c>
      <c r="D189" s="2">
        <v>0.75</v>
      </c>
      <c r="E189">
        <f>_xlfn.XLOOKUP(MPS[[#This Row],[Linea]],CAPACIDAD[Linea],CAPACIDAD[Capacidad día/Turno])*MPS[[#This Row],[Turnos]]</f>
        <v>38.653124999999996</v>
      </c>
    </row>
    <row r="190" spans="1:5" x14ac:dyDescent="0.3">
      <c r="A190" t="s">
        <v>14</v>
      </c>
      <c r="B190">
        <v>2025</v>
      </c>
      <c r="C190">
        <v>15</v>
      </c>
      <c r="D190" s="2">
        <v>0.75</v>
      </c>
      <c r="E190">
        <f>_xlfn.XLOOKUP(MPS[[#This Row],[Linea]],CAPACIDAD[Linea],CAPACIDAD[Capacidad día/Turno])*MPS[[#This Row],[Turnos]]</f>
        <v>38.653124999999996</v>
      </c>
    </row>
    <row r="191" spans="1:5" x14ac:dyDescent="0.3">
      <c r="A191" t="s">
        <v>14</v>
      </c>
      <c r="B191">
        <v>2025</v>
      </c>
      <c r="C191">
        <v>16</v>
      </c>
      <c r="D191" s="2">
        <v>0</v>
      </c>
      <c r="E191">
        <f>_xlfn.XLOOKUP(MPS[[#This Row],[Linea]],CAPACIDAD[Linea],CAPACIDAD[Capacidad día/Turno])*MPS[[#This Row],[Turnos]]</f>
        <v>0</v>
      </c>
    </row>
    <row r="192" spans="1:5" x14ac:dyDescent="0.3">
      <c r="A192" t="s">
        <v>14</v>
      </c>
      <c r="B192">
        <v>2025</v>
      </c>
      <c r="C192">
        <v>17</v>
      </c>
      <c r="D192" s="2">
        <v>0.5</v>
      </c>
      <c r="E192">
        <f>_xlfn.XLOOKUP(MPS[[#This Row],[Linea]],CAPACIDAD[Linea],CAPACIDAD[Capacidad día/Turno])*MPS[[#This Row],[Turnos]]</f>
        <v>25.768749999999997</v>
      </c>
    </row>
    <row r="193" spans="1:5" x14ac:dyDescent="0.3">
      <c r="A193" t="s">
        <v>14</v>
      </c>
      <c r="B193">
        <v>2025</v>
      </c>
      <c r="C193">
        <v>18</v>
      </c>
      <c r="D193" s="2">
        <v>0.5</v>
      </c>
      <c r="E193">
        <f>_xlfn.XLOOKUP(MPS[[#This Row],[Linea]],CAPACIDAD[Linea],CAPACIDAD[Capacidad día/Turno])*MPS[[#This Row],[Turnos]]</f>
        <v>25.768749999999997</v>
      </c>
    </row>
    <row r="194" spans="1:5" x14ac:dyDescent="0.3">
      <c r="A194" t="s">
        <v>14</v>
      </c>
      <c r="B194">
        <v>2025</v>
      </c>
      <c r="C194">
        <v>19</v>
      </c>
      <c r="D194" s="2">
        <v>0.5</v>
      </c>
      <c r="E194">
        <f>_xlfn.XLOOKUP(MPS[[#This Row],[Linea]],CAPACIDAD[Linea],CAPACIDAD[Capacidad día/Turno])*MPS[[#This Row],[Turnos]]</f>
        <v>25.768749999999997</v>
      </c>
    </row>
    <row r="195" spans="1:5" x14ac:dyDescent="0.3">
      <c r="A195" t="s">
        <v>14</v>
      </c>
      <c r="B195">
        <v>2025</v>
      </c>
      <c r="C195">
        <v>20</v>
      </c>
      <c r="D195" s="2">
        <v>0.5</v>
      </c>
      <c r="E195">
        <f>_xlfn.XLOOKUP(MPS[[#This Row],[Linea]],CAPACIDAD[Linea],CAPACIDAD[Capacidad día/Turno])*MPS[[#This Row],[Turnos]]</f>
        <v>25.768749999999997</v>
      </c>
    </row>
    <row r="196" spans="1:5" x14ac:dyDescent="0.3">
      <c r="A196" t="s">
        <v>14</v>
      </c>
      <c r="B196">
        <v>2025</v>
      </c>
      <c r="C196">
        <v>21</v>
      </c>
      <c r="D196" s="2">
        <v>0.5</v>
      </c>
      <c r="E196">
        <f>_xlfn.XLOOKUP(MPS[[#This Row],[Linea]],CAPACIDAD[Linea],CAPACIDAD[Capacidad día/Turno])*MPS[[#This Row],[Turnos]]</f>
        <v>25.768749999999997</v>
      </c>
    </row>
    <row r="197" spans="1:5" x14ac:dyDescent="0.3">
      <c r="A197" t="s">
        <v>14</v>
      </c>
      <c r="B197">
        <v>2025</v>
      </c>
      <c r="C197">
        <v>22</v>
      </c>
      <c r="D197" s="2">
        <v>0.5</v>
      </c>
      <c r="E197">
        <f>_xlfn.XLOOKUP(MPS[[#This Row],[Linea]],CAPACIDAD[Linea],CAPACIDAD[Capacidad día/Turno])*MPS[[#This Row],[Turnos]]</f>
        <v>25.768749999999997</v>
      </c>
    </row>
    <row r="198" spans="1:5" x14ac:dyDescent="0.3">
      <c r="A198" t="s">
        <v>14</v>
      </c>
      <c r="B198">
        <v>2025</v>
      </c>
      <c r="C198">
        <v>23</v>
      </c>
      <c r="D198" s="2">
        <v>0.5</v>
      </c>
      <c r="E198">
        <f>_xlfn.XLOOKUP(MPS[[#This Row],[Linea]],CAPACIDAD[Linea],CAPACIDAD[Capacidad día/Turno])*MPS[[#This Row],[Turnos]]</f>
        <v>25.768749999999997</v>
      </c>
    </row>
    <row r="199" spans="1:5" x14ac:dyDescent="0.3">
      <c r="A199" t="s">
        <v>14</v>
      </c>
      <c r="B199">
        <v>2025</v>
      </c>
      <c r="C199">
        <v>24</v>
      </c>
      <c r="D199" s="2">
        <v>0.5</v>
      </c>
      <c r="E199">
        <f>_xlfn.XLOOKUP(MPS[[#This Row],[Linea]],CAPACIDAD[Linea],CAPACIDAD[Capacidad día/Turno])*MPS[[#This Row],[Turnos]]</f>
        <v>25.768749999999997</v>
      </c>
    </row>
    <row r="200" spans="1:5" x14ac:dyDescent="0.3">
      <c r="A200" t="s">
        <v>14</v>
      </c>
      <c r="B200">
        <v>2025</v>
      </c>
      <c r="C200">
        <v>25</v>
      </c>
      <c r="D200" s="2">
        <v>0.5</v>
      </c>
      <c r="E200">
        <f>_xlfn.XLOOKUP(MPS[[#This Row],[Linea]],CAPACIDAD[Linea],CAPACIDAD[Capacidad día/Turno])*MPS[[#This Row],[Turnos]]</f>
        <v>25.768749999999997</v>
      </c>
    </row>
    <row r="201" spans="1:5" x14ac:dyDescent="0.3">
      <c r="A201" t="s">
        <v>14</v>
      </c>
      <c r="B201">
        <v>2025</v>
      </c>
      <c r="C201">
        <v>26</v>
      </c>
      <c r="D201" s="2">
        <v>0.5</v>
      </c>
      <c r="E201">
        <f>_xlfn.XLOOKUP(MPS[[#This Row],[Linea]],CAPACIDAD[Linea],CAPACIDAD[Capacidad día/Turno])*MPS[[#This Row],[Turnos]]</f>
        <v>25.768749999999997</v>
      </c>
    </row>
    <row r="202" spans="1:5" x14ac:dyDescent="0.3">
      <c r="A202" t="s">
        <v>14</v>
      </c>
      <c r="B202">
        <v>2025</v>
      </c>
      <c r="C202">
        <v>27</v>
      </c>
      <c r="D202" s="2">
        <v>0.5</v>
      </c>
      <c r="E202">
        <f>_xlfn.XLOOKUP(MPS[[#This Row],[Linea]],CAPACIDAD[Linea],CAPACIDAD[Capacidad día/Turno])*MPS[[#This Row],[Turnos]]</f>
        <v>25.768749999999997</v>
      </c>
    </row>
    <row r="203" spans="1:5" x14ac:dyDescent="0.3">
      <c r="A203" t="s">
        <v>14</v>
      </c>
      <c r="B203">
        <v>2025</v>
      </c>
      <c r="C203">
        <v>28</v>
      </c>
      <c r="D203" s="2">
        <v>0.5</v>
      </c>
      <c r="E203">
        <f>_xlfn.XLOOKUP(MPS[[#This Row],[Linea]],CAPACIDAD[Linea],CAPACIDAD[Capacidad día/Turno])*MPS[[#This Row],[Turnos]]</f>
        <v>25.768749999999997</v>
      </c>
    </row>
    <row r="204" spans="1:5" x14ac:dyDescent="0.3">
      <c r="A204" t="s">
        <v>14</v>
      </c>
      <c r="B204">
        <v>2025</v>
      </c>
      <c r="C204">
        <v>29</v>
      </c>
      <c r="D204" s="2">
        <v>0.5</v>
      </c>
      <c r="E204">
        <f>_xlfn.XLOOKUP(MPS[[#This Row],[Linea]],CAPACIDAD[Linea],CAPACIDAD[Capacidad día/Turno])*MPS[[#This Row],[Turnos]]</f>
        <v>25.768749999999997</v>
      </c>
    </row>
    <row r="205" spans="1:5" x14ac:dyDescent="0.3">
      <c r="A205" t="s">
        <v>14</v>
      </c>
      <c r="B205">
        <v>2025</v>
      </c>
      <c r="C205">
        <v>30</v>
      </c>
      <c r="D205" s="2">
        <v>0.5</v>
      </c>
      <c r="E205">
        <f>_xlfn.XLOOKUP(MPS[[#This Row],[Linea]],CAPACIDAD[Linea],CAPACIDAD[Capacidad día/Turno])*MPS[[#This Row],[Turnos]]</f>
        <v>25.768749999999997</v>
      </c>
    </row>
    <row r="206" spans="1:5" x14ac:dyDescent="0.3">
      <c r="A206" t="s">
        <v>14</v>
      </c>
      <c r="B206">
        <v>2025</v>
      </c>
      <c r="C206">
        <v>31</v>
      </c>
      <c r="D206" s="2">
        <v>0.5</v>
      </c>
      <c r="E206">
        <f>_xlfn.XLOOKUP(MPS[[#This Row],[Linea]],CAPACIDAD[Linea],CAPACIDAD[Capacidad día/Turno])*MPS[[#This Row],[Turnos]]</f>
        <v>25.768749999999997</v>
      </c>
    </row>
    <row r="207" spans="1:5" x14ac:dyDescent="0.3">
      <c r="A207" t="s">
        <v>14</v>
      </c>
      <c r="B207">
        <v>2025</v>
      </c>
      <c r="C207">
        <v>32</v>
      </c>
      <c r="D207" s="2">
        <v>0.5</v>
      </c>
      <c r="E207">
        <f>_xlfn.XLOOKUP(MPS[[#This Row],[Linea]],CAPACIDAD[Linea],CAPACIDAD[Capacidad día/Turno])*MPS[[#This Row],[Turnos]]</f>
        <v>25.768749999999997</v>
      </c>
    </row>
    <row r="208" spans="1:5" x14ac:dyDescent="0.3">
      <c r="A208" t="s">
        <v>14</v>
      </c>
      <c r="B208">
        <v>2025</v>
      </c>
      <c r="C208">
        <v>33</v>
      </c>
      <c r="D208" s="2">
        <v>0</v>
      </c>
      <c r="E208">
        <f>_xlfn.XLOOKUP(MPS[[#This Row],[Linea]],CAPACIDAD[Linea],CAPACIDAD[Capacidad día/Turno])*MPS[[#This Row],[Turnos]]</f>
        <v>0</v>
      </c>
    </row>
    <row r="209" spans="1:5" x14ac:dyDescent="0.3">
      <c r="A209" t="s">
        <v>14</v>
      </c>
      <c r="B209">
        <v>2025</v>
      </c>
      <c r="C209">
        <v>34</v>
      </c>
      <c r="D209" s="2">
        <v>0</v>
      </c>
      <c r="E209">
        <f>_xlfn.XLOOKUP(MPS[[#This Row],[Linea]],CAPACIDAD[Linea],CAPACIDAD[Capacidad día/Turno])*MPS[[#This Row],[Turnos]]</f>
        <v>0</v>
      </c>
    </row>
    <row r="210" spans="1:5" x14ac:dyDescent="0.3">
      <c r="A210" t="s">
        <v>14</v>
      </c>
      <c r="B210">
        <v>2025</v>
      </c>
      <c r="C210">
        <v>35</v>
      </c>
      <c r="D210" s="2">
        <v>0</v>
      </c>
      <c r="E210">
        <f>_xlfn.XLOOKUP(MPS[[#This Row],[Linea]],CAPACIDAD[Linea],CAPACIDAD[Capacidad día/Turno])*MPS[[#This Row],[Turnos]]</f>
        <v>0</v>
      </c>
    </row>
    <row r="211" spans="1:5" x14ac:dyDescent="0.3">
      <c r="A211" t="s">
        <v>5</v>
      </c>
      <c r="B211">
        <v>2024</v>
      </c>
      <c r="C211">
        <v>47</v>
      </c>
      <c r="D211" s="2">
        <v>0.75</v>
      </c>
      <c r="E211">
        <f>_xlfn.XLOOKUP(MPS[[#This Row],[Linea]],CAPACIDAD[Linea],CAPACIDAD[Capacidad día/Turno])*MPS[[#This Row],[Turnos]]</f>
        <v>54.986249999999998</v>
      </c>
    </row>
    <row r="212" spans="1:5" x14ac:dyDescent="0.3">
      <c r="A212" t="s">
        <v>5</v>
      </c>
      <c r="B212">
        <v>2024</v>
      </c>
      <c r="C212">
        <v>48</v>
      </c>
      <c r="D212" s="3">
        <v>0.75</v>
      </c>
      <c r="E212">
        <f>_xlfn.XLOOKUP(MPS[[#This Row],[Linea]],CAPACIDAD[Linea],CAPACIDAD[Capacidad día/Turno])*MPS[[#This Row],[Turnos]]</f>
        <v>54.986249999999998</v>
      </c>
    </row>
    <row r="213" spans="1:5" x14ac:dyDescent="0.3">
      <c r="A213" t="s">
        <v>5</v>
      </c>
      <c r="B213">
        <v>2024</v>
      </c>
      <c r="C213">
        <v>49</v>
      </c>
      <c r="D213" s="2">
        <v>0.75</v>
      </c>
      <c r="E213">
        <f>_xlfn.XLOOKUP(MPS[[#This Row],[Linea]],CAPACIDAD[Linea],CAPACIDAD[Capacidad día/Turno])*MPS[[#This Row],[Turnos]]</f>
        <v>54.986249999999998</v>
      </c>
    </row>
    <row r="214" spans="1:5" x14ac:dyDescent="0.3">
      <c r="A214" t="s">
        <v>5</v>
      </c>
      <c r="B214">
        <v>2024</v>
      </c>
      <c r="C214">
        <v>50</v>
      </c>
      <c r="D214" s="3">
        <v>1</v>
      </c>
      <c r="E214">
        <f>_xlfn.XLOOKUP(MPS[[#This Row],[Linea]],CAPACIDAD[Linea],CAPACIDAD[Capacidad día/Turno])*MPS[[#This Row],[Turnos]]</f>
        <v>73.314999999999998</v>
      </c>
    </row>
    <row r="215" spans="1:5" x14ac:dyDescent="0.3">
      <c r="A215" t="s">
        <v>5</v>
      </c>
      <c r="B215">
        <v>2024</v>
      </c>
      <c r="C215">
        <v>51</v>
      </c>
      <c r="D215" s="2">
        <v>1</v>
      </c>
      <c r="E215">
        <f>_xlfn.XLOOKUP(MPS[[#This Row],[Linea]],CAPACIDAD[Linea],CAPACIDAD[Capacidad día/Turno])*MPS[[#This Row],[Turnos]]</f>
        <v>73.314999999999998</v>
      </c>
    </row>
    <row r="216" spans="1:5" x14ac:dyDescent="0.3">
      <c r="A216" t="s">
        <v>5</v>
      </c>
      <c r="B216">
        <v>2025</v>
      </c>
      <c r="C216">
        <v>2</v>
      </c>
      <c r="D216" s="3">
        <v>2</v>
      </c>
      <c r="E216">
        <f>_xlfn.XLOOKUP(MPS[[#This Row],[Linea]],CAPACIDAD[Linea],CAPACIDAD[Capacidad día/Turno])*MPS[[#This Row],[Turnos]]</f>
        <v>146.63</v>
      </c>
    </row>
    <row r="217" spans="1:5" x14ac:dyDescent="0.3">
      <c r="A217" t="s">
        <v>5</v>
      </c>
      <c r="B217">
        <v>2025</v>
      </c>
      <c r="C217">
        <v>3</v>
      </c>
      <c r="D217" s="2">
        <v>2</v>
      </c>
      <c r="E217">
        <f>_xlfn.XLOOKUP(MPS[[#This Row],[Linea]],CAPACIDAD[Linea],CAPACIDAD[Capacidad día/Turno])*MPS[[#This Row],[Turnos]]</f>
        <v>146.63</v>
      </c>
    </row>
    <row r="218" spans="1:5" x14ac:dyDescent="0.3">
      <c r="A218" t="s">
        <v>5</v>
      </c>
      <c r="B218">
        <v>2025</v>
      </c>
      <c r="C218">
        <v>4</v>
      </c>
      <c r="D218" s="3">
        <v>2</v>
      </c>
      <c r="E218">
        <f>_xlfn.XLOOKUP(MPS[[#This Row],[Linea]],CAPACIDAD[Linea],CAPACIDAD[Capacidad día/Turno])*MPS[[#This Row],[Turnos]]</f>
        <v>146.63</v>
      </c>
    </row>
    <row r="219" spans="1:5" x14ac:dyDescent="0.3">
      <c r="A219" t="s">
        <v>5</v>
      </c>
      <c r="B219">
        <v>2025</v>
      </c>
      <c r="C219">
        <v>5</v>
      </c>
      <c r="D219" s="2">
        <v>2</v>
      </c>
      <c r="E219">
        <f>_xlfn.XLOOKUP(MPS[[#This Row],[Linea]],CAPACIDAD[Linea],CAPACIDAD[Capacidad día/Turno])*MPS[[#This Row],[Turnos]]</f>
        <v>146.63</v>
      </c>
    </row>
    <row r="220" spans="1:5" x14ac:dyDescent="0.3">
      <c r="A220" t="s">
        <v>5</v>
      </c>
      <c r="B220">
        <v>2025</v>
      </c>
      <c r="C220">
        <v>6</v>
      </c>
      <c r="D220" s="3">
        <v>2</v>
      </c>
      <c r="E220">
        <f>_xlfn.XLOOKUP(MPS[[#This Row],[Linea]],CAPACIDAD[Linea],CAPACIDAD[Capacidad día/Turno])*MPS[[#This Row],[Turnos]]</f>
        <v>146.63</v>
      </c>
    </row>
    <row r="221" spans="1:5" x14ac:dyDescent="0.3">
      <c r="A221" t="s">
        <v>5</v>
      </c>
      <c r="B221">
        <v>2025</v>
      </c>
      <c r="C221">
        <v>7</v>
      </c>
      <c r="D221" s="2">
        <v>2</v>
      </c>
      <c r="E221">
        <f>_xlfn.XLOOKUP(MPS[[#This Row],[Linea]],CAPACIDAD[Linea],CAPACIDAD[Capacidad día/Turno])*MPS[[#This Row],[Turnos]]</f>
        <v>146.63</v>
      </c>
    </row>
    <row r="222" spans="1:5" x14ac:dyDescent="0.3">
      <c r="A222" t="s">
        <v>5</v>
      </c>
      <c r="B222">
        <v>2025</v>
      </c>
      <c r="C222">
        <v>8</v>
      </c>
      <c r="D222" s="3">
        <v>2</v>
      </c>
      <c r="E222">
        <f>_xlfn.XLOOKUP(MPS[[#This Row],[Linea]],CAPACIDAD[Linea],CAPACIDAD[Capacidad día/Turno])*MPS[[#This Row],[Turnos]]</f>
        <v>146.63</v>
      </c>
    </row>
    <row r="223" spans="1:5" x14ac:dyDescent="0.3">
      <c r="A223" t="s">
        <v>5</v>
      </c>
      <c r="B223">
        <v>2025</v>
      </c>
      <c r="C223">
        <v>9</v>
      </c>
      <c r="D223" s="2">
        <v>2</v>
      </c>
      <c r="E223">
        <f>_xlfn.XLOOKUP(MPS[[#This Row],[Linea]],CAPACIDAD[Linea],CAPACIDAD[Capacidad día/Turno])*MPS[[#This Row],[Turnos]]</f>
        <v>146.63</v>
      </c>
    </row>
    <row r="224" spans="1:5" x14ac:dyDescent="0.3">
      <c r="A224" t="s">
        <v>5</v>
      </c>
      <c r="B224">
        <v>2025</v>
      </c>
      <c r="C224">
        <v>10</v>
      </c>
      <c r="D224" s="2">
        <v>1</v>
      </c>
      <c r="E224">
        <f>_xlfn.XLOOKUP(MPS[[#This Row],[Linea]],CAPACIDAD[Linea],CAPACIDAD[Capacidad día/Turno])*MPS[[#This Row],[Turnos]]</f>
        <v>73.314999999999998</v>
      </c>
    </row>
    <row r="225" spans="1:5" x14ac:dyDescent="0.3">
      <c r="A225" t="s">
        <v>5</v>
      </c>
      <c r="B225">
        <v>2025</v>
      </c>
      <c r="C225">
        <v>11</v>
      </c>
      <c r="D225" s="2">
        <v>2</v>
      </c>
      <c r="E225">
        <f>_xlfn.XLOOKUP(MPS[[#This Row],[Linea]],CAPACIDAD[Linea],CAPACIDAD[Capacidad día/Turno])*MPS[[#This Row],[Turnos]]</f>
        <v>146.63</v>
      </c>
    </row>
    <row r="226" spans="1:5" x14ac:dyDescent="0.3">
      <c r="A226" t="s">
        <v>5</v>
      </c>
      <c r="B226">
        <v>2025</v>
      </c>
      <c r="C226">
        <v>12</v>
      </c>
      <c r="D226" s="2">
        <v>2</v>
      </c>
      <c r="E226">
        <f>_xlfn.XLOOKUP(MPS[[#This Row],[Linea]],CAPACIDAD[Linea],CAPACIDAD[Capacidad día/Turno])*MPS[[#This Row],[Turnos]]</f>
        <v>146.63</v>
      </c>
    </row>
    <row r="227" spans="1:5" x14ac:dyDescent="0.3">
      <c r="A227" t="s">
        <v>5</v>
      </c>
      <c r="B227">
        <v>2025</v>
      </c>
      <c r="C227">
        <v>13</v>
      </c>
      <c r="D227" s="2">
        <v>2</v>
      </c>
      <c r="E227">
        <f>_xlfn.XLOOKUP(MPS[[#This Row],[Linea]],CAPACIDAD[Linea],CAPACIDAD[Capacidad día/Turno])*MPS[[#This Row],[Turnos]]</f>
        <v>146.63</v>
      </c>
    </row>
    <row r="228" spans="1:5" x14ac:dyDescent="0.3">
      <c r="A228" t="s">
        <v>5</v>
      </c>
      <c r="B228">
        <v>2025</v>
      </c>
      <c r="C228">
        <v>14</v>
      </c>
      <c r="D228" s="2">
        <v>2</v>
      </c>
      <c r="E228">
        <f>_xlfn.XLOOKUP(MPS[[#This Row],[Linea]],CAPACIDAD[Linea],CAPACIDAD[Capacidad día/Turno])*MPS[[#This Row],[Turnos]]</f>
        <v>146.63</v>
      </c>
    </row>
    <row r="229" spans="1:5" x14ac:dyDescent="0.3">
      <c r="A229" t="s">
        <v>5</v>
      </c>
      <c r="B229">
        <v>2025</v>
      </c>
      <c r="C229">
        <v>15</v>
      </c>
      <c r="D229" s="2">
        <v>2</v>
      </c>
      <c r="E229">
        <f>_xlfn.XLOOKUP(MPS[[#This Row],[Linea]],CAPACIDAD[Linea],CAPACIDAD[Capacidad día/Turno])*MPS[[#This Row],[Turnos]]</f>
        <v>146.63</v>
      </c>
    </row>
    <row r="230" spans="1:5" x14ac:dyDescent="0.3">
      <c r="A230" t="s">
        <v>5</v>
      </c>
      <c r="B230">
        <v>2025</v>
      </c>
      <c r="C230">
        <v>16</v>
      </c>
      <c r="D230" s="2">
        <v>0</v>
      </c>
      <c r="E230">
        <f>_xlfn.XLOOKUP(MPS[[#This Row],[Linea]],CAPACIDAD[Linea],CAPACIDAD[Capacidad día/Turno])*MPS[[#This Row],[Turnos]]</f>
        <v>0</v>
      </c>
    </row>
    <row r="231" spans="1:5" x14ac:dyDescent="0.3">
      <c r="A231" t="s">
        <v>5</v>
      </c>
      <c r="B231">
        <v>2025</v>
      </c>
      <c r="C231">
        <v>17</v>
      </c>
      <c r="D231" s="2">
        <v>2</v>
      </c>
      <c r="E231">
        <f>_xlfn.XLOOKUP(MPS[[#This Row],[Linea]],CAPACIDAD[Linea],CAPACIDAD[Capacidad día/Turno])*MPS[[#This Row],[Turnos]]</f>
        <v>146.63</v>
      </c>
    </row>
    <row r="232" spans="1:5" x14ac:dyDescent="0.3">
      <c r="A232" t="s">
        <v>5</v>
      </c>
      <c r="B232">
        <v>2025</v>
      </c>
      <c r="C232">
        <v>18</v>
      </c>
      <c r="D232" s="2">
        <v>2</v>
      </c>
      <c r="E232">
        <f>_xlfn.XLOOKUP(MPS[[#This Row],[Linea]],CAPACIDAD[Linea],CAPACIDAD[Capacidad día/Turno])*MPS[[#This Row],[Turnos]]</f>
        <v>146.63</v>
      </c>
    </row>
    <row r="233" spans="1:5" x14ac:dyDescent="0.3">
      <c r="A233" t="s">
        <v>5</v>
      </c>
      <c r="B233">
        <v>2025</v>
      </c>
      <c r="C233">
        <v>19</v>
      </c>
      <c r="D233" s="2">
        <v>2</v>
      </c>
      <c r="E233">
        <f>_xlfn.XLOOKUP(MPS[[#This Row],[Linea]],CAPACIDAD[Linea],CAPACIDAD[Capacidad día/Turno])*MPS[[#This Row],[Turnos]]</f>
        <v>146.63</v>
      </c>
    </row>
    <row r="234" spans="1:5" x14ac:dyDescent="0.3">
      <c r="A234" t="s">
        <v>5</v>
      </c>
      <c r="B234">
        <v>2025</v>
      </c>
      <c r="C234">
        <v>20</v>
      </c>
      <c r="D234" s="2">
        <v>2</v>
      </c>
      <c r="E234">
        <f>_xlfn.XLOOKUP(MPS[[#This Row],[Linea]],CAPACIDAD[Linea],CAPACIDAD[Capacidad día/Turno])*MPS[[#This Row],[Turnos]]</f>
        <v>146.63</v>
      </c>
    </row>
    <row r="235" spans="1:5" x14ac:dyDescent="0.3">
      <c r="A235" t="s">
        <v>5</v>
      </c>
      <c r="B235">
        <v>2025</v>
      </c>
      <c r="C235">
        <v>21</v>
      </c>
      <c r="D235" s="2">
        <v>2</v>
      </c>
      <c r="E235">
        <f>_xlfn.XLOOKUP(MPS[[#This Row],[Linea]],CAPACIDAD[Linea],CAPACIDAD[Capacidad día/Turno])*MPS[[#This Row],[Turnos]]</f>
        <v>146.63</v>
      </c>
    </row>
    <row r="236" spans="1:5" x14ac:dyDescent="0.3">
      <c r="A236" t="s">
        <v>5</v>
      </c>
      <c r="B236">
        <v>2025</v>
      </c>
      <c r="C236">
        <v>22</v>
      </c>
      <c r="D236" s="2">
        <v>2</v>
      </c>
      <c r="E236">
        <f>_xlfn.XLOOKUP(MPS[[#This Row],[Linea]],CAPACIDAD[Linea],CAPACIDAD[Capacidad día/Turno])*MPS[[#This Row],[Turnos]]</f>
        <v>146.63</v>
      </c>
    </row>
    <row r="237" spans="1:5" x14ac:dyDescent="0.3">
      <c r="A237" t="s">
        <v>5</v>
      </c>
      <c r="B237">
        <v>2025</v>
      </c>
      <c r="C237">
        <v>23</v>
      </c>
      <c r="D237" s="2">
        <v>2</v>
      </c>
      <c r="E237">
        <f>_xlfn.XLOOKUP(MPS[[#This Row],[Linea]],CAPACIDAD[Linea],CAPACIDAD[Capacidad día/Turno])*MPS[[#This Row],[Turnos]]</f>
        <v>146.63</v>
      </c>
    </row>
    <row r="238" spans="1:5" x14ac:dyDescent="0.3">
      <c r="A238" t="s">
        <v>5</v>
      </c>
      <c r="B238">
        <v>2025</v>
      </c>
      <c r="C238">
        <v>24</v>
      </c>
      <c r="D238" s="2">
        <v>2</v>
      </c>
      <c r="E238">
        <f>_xlfn.XLOOKUP(MPS[[#This Row],[Linea]],CAPACIDAD[Linea],CAPACIDAD[Capacidad día/Turno])*MPS[[#This Row],[Turnos]]</f>
        <v>146.63</v>
      </c>
    </row>
    <row r="239" spans="1:5" x14ac:dyDescent="0.3">
      <c r="A239" t="s">
        <v>5</v>
      </c>
      <c r="B239">
        <v>2025</v>
      </c>
      <c r="C239">
        <v>25</v>
      </c>
      <c r="D239" s="2">
        <v>2</v>
      </c>
      <c r="E239">
        <f>_xlfn.XLOOKUP(MPS[[#This Row],[Linea]],CAPACIDAD[Linea],CAPACIDAD[Capacidad día/Turno])*MPS[[#This Row],[Turnos]]</f>
        <v>146.63</v>
      </c>
    </row>
    <row r="240" spans="1:5" x14ac:dyDescent="0.3">
      <c r="A240" t="s">
        <v>5</v>
      </c>
      <c r="B240">
        <v>2025</v>
      </c>
      <c r="C240">
        <v>26</v>
      </c>
      <c r="D240" s="2">
        <v>2</v>
      </c>
      <c r="E240">
        <f>_xlfn.XLOOKUP(MPS[[#This Row],[Linea]],CAPACIDAD[Linea],CAPACIDAD[Capacidad día/Turno])*MPS[[#This Row],[Turnos]]</f>
        <v>146.63</v>
      </c>
    </row>
    <row r="241" spans="1:5" x14ac:dyDescent="0.3">
      <c r="A241" t="s">
        <v>5</v>
      </c>
      <c r="B241">
        <v>2025</v>
      </c>
      <c r="C241">
        <v>27</v>
      </c>
      <c r="D241" s="2">
        <v>2</v>
      </c>
      <c r="E241">
        <f>_xlfn.XLOOKUP(MPS[[#This Row],[Linea]],CAPACIDAD[Linea],CAPACIDAD[Capacidad día/Turno])*MPS[[#This Row],[Turnos]]</f>
        <v>146.63</v>
      </c>
    </row>
    <row r="242" spans="1:5" x14ac:dyDescent="0.3">
      <c r="A242" t="s">
        <v>5</v>
      </c>
      <c r="B242">
        <v>2025</v>
      </c>
      <c r="C242">
        <v>28</v>
      </c>
      <c r="D242" s="2">
        <v>2</v>
      </c>
      <c r="E242">
        <f>_xlfn.XLOOKUP(MPS[[#This Row],[Linea]],CAPACIDAD[Linea],CAPACIDAD[Capacidad día/Turno])*MPS[[#This Row],[Turnos]]</f>
        <v>146.63</v>
      </c>
    </row>
    <row r="243" spans="1:5" x14ac:dyDescent="0.3">
      <c r="A243" t="s">
        <v>5</v>
      </c>
      <c r="B243">
        <v>2025</v>
      </c>
      <c r="C243">
        <v>29</v>
      </c>
      <c r="D243" s="2">
        <v>2</v>
      </c>
      <c r="E243">
        <f>_xlfn.XLOOKUP(MPS[[#This Row],[Linea]],CAPACIDAD[Linea],CAPACIDAD[Capacidad día/Turno])*MPS[[#This Row],[Turnos]]</f>
        <v>146.63</v>
      </c>
    </row>
    <row r="244" spans="1:5" x14ac:dyDescent="0.3">
      <c r="A244" t="s">
        <v>5</v>
      </c>
      <c r="B244">
        <v>2025</v>
      </c>
      <c r="C244">
        <v>30</v>
      </c>
      <c r="D244" s="2">
        <v>2</v>
      </c>
      <c r="E244">
        <f>_xlfn.XLOOKUP(MPS[[#This Row],[Linea]],CAPACIDAD[Linea],CAPACIDAD[Capacidad día/Turno])*MPS[[#This Row],[Turnos]]</f>
        <v>146.63</v>
      </c>
    </row>
    <row r="245" spans="1:5" x14ac:dyDescent="0.3">
      <c r="A245" t="s">
        <v>5</v>
      </c>
      <c r="B245">
        <v>2025</v>
      </c>
      <c r="C245">
        <v>31</v>
      </c>
      <c r="D245" s="2">
        <v>2</v>
      </c>
      <c r="E245">
        <f>_xlfn.XLOOKUP(MPS[[#This Row],[Linea]],CAPACIDAD[Linea],CAPACIDAD[Capacidad día/Turno])*MPS[[#This Row],[Turnos]]</f>
        <v>146.63</v>
      </c>
    </row>
    <row r="246" spans="1:5" x14ac:dyDescent="0.3">
      <c r="A246" t="s">
        <v>5</v>
      </c>
      <c r="B246">
        <v>2025</v>
      </c>
      <c r="C246">
        <v>32</v>
      </c>
      <c r="D246" s="2">
        <v>2</v>
      </c>
      <c r="E246">
        <f>_xlfn.XLOOKUP(MPS[[#This Row],[Linea]],CAPACIDAD[Linea],CAPACIDAD[Capacidad día/Turno])*MPS[[#This Row],[Turnos]]</f>
        <v>146.63</v>
      </c>
    </row>
    <row r="247" spans="1:5" x14ac:dyDescent="0.3">
      <c r="A247" t="s">
        <v>5</v>
      </c>
      <c r="B247">
        <v>2025</v>
      </c>
      <c r="C247">
        <v>33</v>
      </c>
      <c r="D247" s="2">
        <v>0</v>
      </c>
      <c r="E247">
        <f>_xlfn.XLOOKUP(MPS[[#This Row],[Linea]],CAPACIDAD[Linea],CAPACIDAD[Capacidad día/Turno])*MPS[[#This Row],[Turnos]]</f>
        <v>0</v>
      </c>
    </row>
    <row r="248" spans="1:5" x14ac:dyDescent="0.3">
      <c r="A248" t="s">
        <v>5</v>
      </c>
      <c r="B248">
        <v>2025</v>
      </c>
      <c r="C248">
        <v>34</v>
      </c>
      <c r="D248" s="2">
        <v>0</v>
      </c>
      <c r="E248">
        <f>_xlfn.XLOOKUP(MPS[[#This Row],[Linea]],CAPACIDAD[Linea],CAPACIDAD[Capacidad día/Turno])*MPS[[#This Row],[Turnos]]</f>
        <v>0</v>
      </c>
    </row>
    <row r="249" spans="1:5" x14ac:dyDescent="0.3">
      <c r="A249" t="s">
        <v>5</v>
      </c>
      <c r="B249">
        <v>2025</v>
      </c>
      <c r="C249">
        <v>35</v>
      </c>
      <c r="D249" s="2">
        <v>0</v>
      </c>
      <c r="E249">
        <f>_xlfn.XLOOKUP(MPS[[#This Row],[Linea]],CAPACIDAD[Linea],CAPACIDAD[Capacidad día/Turno])*MPS[[#This Row],[Turnos]]</f>
        <v>0</v>
      </c>
    </row>
    <row r="250" spans="1:5" x14ac:dyDescent="0.3">
      <c r="A250" t="s">
        <v>6</v>
      </c>
      <c r="B250">
        <v>2024</v>
      </c>
      <c r="C250">
        <v>47</v>
      </c>
      <c r="D250" s="3">
        <v>0.75</v>
      </c>
      <c r="E250">
        <f>_xlfn.XLOOKUP(MPS[[#This Row],[Linea]],CAPACIDAD[Linea],CAPACIDAD[Capacidad día/Turno])*MPS[[#This Row],[Turnos]]</f>
        <v>79.98</v>
      </c>
    </row>
    <row r="251" spans="1:5" x14ac:dyDescent="0.3">
      <c r="A251" t="s">
        <v>6</v>
      </c>
      <c r="B251">
        <v>2024</v>
      </c>
      <c r="C251">
        <v>48</v>
      </c>
      <c r="D251" s="2">
        <v>0.75</v>
      </c>
      <c r="E251">
        <f>_xlfn.XLOOKUP(MPS[[#This Row],[Linea]],CAPACIDAD[Linea],CAPACIDAD[Capacidad día/Turno])*MPS[[#This Row],[Turnos]]</f>
        <v>79.98</v>
      </c>
    </row>
    <row r="252" spans="1:5" x14ac:dyDescent="0.3">
      <c r="A252" t="s">
        <v>6</v>
      </c>
      <c r="B252">
        <v>2024</v>
      </c>
      <c r="C252">
        <v>49</v>
      </c>
      <c r="D252" s="3">
        <v>0.75</v>
      </c>
      <c r="E252">
        <f>_xlfn.XLOOKUP(MPS[[#This Row],[Linea]],CAPACIDAD[Linea],CAPACIDAD[Capacidad día/Turno])*MPS[[#This Row],[Turnos]]</f>
        <v>79.98</v>
      </c>
    </row>
    <row r="253" spans="1:5" x14ac:dyDescent="0.3">
      <c r="A253" t="s">
        <v>6</v>
      </c>
      <c r="B253">
        <v>2024</v>
      </c>
      <c r="C253">
        <v>50</v>
      </c>
      <c r="D253" s="2">
        <v>0.75</v>
      </c>
      <c r="E253">
        <f>_xlfn.XLOOKUP(MPS[[#This Row],[Linea]],CAPACIDAD[Linea],CAPACIDAD[Capacidad día/Turno])*MPS[[#This Row],[Turnos]]</f>
        <v>79.98</v>
      </c>
    </row>
    <row r="254" spans="1:5" x14ac:dyDescent="0.3">
      <c r="A254" t="s">
        <v>6</v>
      </c>
      <c r="B254">
        <v>2024</v>
      </c>
      <c r="C254">
        <v>51</v>
      </c>
      <c r="D254" s="3">
        <v>0.75</v>
      </c>
      <c r="E254">
        <f>_xlfn.XLOOKUP(MPS[[#This Row],[Linea]],CAPACIDAD[Linea],CAPACIDAD[Capacidad día/Turno])*MPS[[#This Row],[Turnos]]</f>
        <v>79.98</v>
      </c>
    </row>
    <row r="255" spans="1:5" x14ac:dyDescent="0.3">
      <c r="A255" t="s">
        <v>6</v>
      </c>
      <c r="B255">
        <v>2025</v>
      </c>
      <c r="C255">
        <v>2</v>
      </c>
      <c r="D255" s="2">
        <v>1</v>
      </c>
      <c r="E255">
        <f>_xlfn.XLOOKUP(MPS[[#This Row],[Linea]],CAPACIDAD[Linea],CAPACIDAD[Capacidad día/Turno])*MPS[[#This Row],[Turnos]]</f>
        <v>106.64</v>
      </c>
    </row>
    <row r="256" spans="1:5" x14ac:dyDescent="0.3">
      <c r="A256" t="s">
        <v>6</v>
      </c>
      <c r="B256">
        <v>2025</v>
      </c>
      <c r="C256">
        <v>3</v>
      </c>
      <c r="D256" s="3">
        <v>1</v>
      </c>
      <c r="E256">
        <f>_xlfn.XLOOKUP(MPS[[#This Row],[Linea]],CAPACIDAD[Linea],CAPACIDAD[Capacidad día/Turno])*MPS[[#This Row],[Turnos]]</f>
        <v>106.64</v>
      </c>
    </row>
    <row r="257" spans="1:5" x14ac:dyDescent="0.3">
      <c r="A257" t="s">
        <v>6</v>
      </c>
      <c r="B257">
        <v>2025</v>
      </c>
      <c r="C257">
        <v>4</v>
      </c>
      <c r="D257" s="2">
        <v>1</v>
      </c>
      <c r="E257">
        <f>_xlfn.XLOOKUP(MPS[[#This Row],[Linea]],CAPACIDAD[Linea],CAPACIDAD[Capacidad día/Turno])*MPS[[#This Row],[Turnos]]</f>
        <v>106.64</v>
      </c>
    </row>
    <row r="258" spans="1:5" x14ac:dyDescent="0.3">
      <c r="A258" t="s">
        <v>6</v>
      </c>
      <c r="B258">
        <v>2025</v>
      </c>
      <c r="C258">
        <v>5</v>
      </c>
      <c r="D258" s="3">
        <v>1</v>
      </c>
      <c r="E258">
        <f>_xlfn.XLOOKUP(MPS[[#This Row],[Linea]],CAPACIDAD[Linea],CAPACIDAD[Capacidad día/Turno])*MPS[[#This Row],[Turnos]]</f>
        <v>106.64</v>
      </c>
    </row>
    <row r="259" spans="1:5" x14ac:dyDescent="0.3">
      <c r="A259" t="s">
        <v>6</v>
      </c>
      <c r="B259">
        <v>2025</v>
      </c>
      <c r="C259">
        <v>6</v>
      </c>
      <c r="D259" s="2">
        <v>1</v>
      </c>
      <c r="E259">
        <f>_xlfn.XLOOKUP(MPS[[#This Row],[Linea]],CAPACIDAD[Linea],CAPACIDAD[Capacidad día/Turno])*MPS[[#This Row],[Turnos]]</f>
        <v>106.64</v>
      </c>
    </row>
    <row r="260" spans="1:5" x14ac:dyDescent="0.3">
      <c r="A260" t="s">
        <v>6</v>
      </c>
      <c r="B260">
        <v>2025</v>
      </c>
      <c r="C260">
        <v>7</v>
      </c>
      <c r="D260" s="3">
        <v>1</v>
      </c>
      <c r="E260">
        <f>_xlfn.XLOOKUP(MPS[[#This Row],[Linea]],CAPACIDAD[Linea],CAPACIDAD[Capacidad día/Turno])*MPS[[#This Row],[Turnos]]</f>
        <v>106.64</v>
      </c>
    </row>
    <row r="261" spans="1:5" x14ac:dyDescent="0.3">
      <c r="A261" t="s">
        <v>6</v>
      </c>
      <c r="B261">
        <v>2025</v>
      </c>
      <c r="C261">
        <v>8</v>
      </c>
      <c r="D261" s="2">
        <v>1</v>
      </c>
      <c r="E261">
        <f>_xlfn.XLOOKUP(MPS[[#This Row],[Linea]],CAPACIDAD[Linea],CAPACIDAD[Capacidad día/Turno])*MPS[[#This Row],[Turnos]]</f>
        <v>106.64</v>
      </c>
    </row>
    <row r="262" spans="1:5" x14ac:dyDescent="0.3">
      <c r="A262" t="s">
        <v>6</v>
      </c>
      <c r="B262">
        <v>2025</v>
      </c>
      <c r="C262">
        <v>9</v>
      </c>
      <c r="D262" s="3">
        <v>1</v>
      </c>
      <c r="E262">
        <f>_xlfn.XLOOKUP(MPS[[#This Row],[Linea]],CAPACIDAD[Linea],CAPACIDAD[Capacidad día/Turno])*MPS[[#This Row],[Turnos]]</f>
        <v>106.64</v>
      </c>
    </row>
    <row r="263" spans="1:5" x14ac:dyDescent="0.3">
      <c r="A263" t="s">
        <v>6</v>
      </c>
      <c r="B263">
        <v>2025</v>
      </c>
      <c r="C263">
        <v>10</v>
      </c>
      <c r="D263" s="3">
        <v>1</v>
      </c>
      <c r="E263">
        <f>_xlfn.XLOOKUP(MPS[[#This Row],[Linea]],CAPACIDAD[Linea],CAPACIDAD[Capacidad día/Turno])*MPS[[#This Row],[Turnos]]</f>
        <v>106.64</v>
      </c>
    </row>
    <row r="264" spans="1:5" x14ac:dyDescent="0.3">
      <c r="A264" t="s">
        <v>6</v>
      </c>
      <c r="B264">
        <v>2025</v>
      </c>
      <c r="C264">
        <v>11</v>
      </c>
      <c r="D264" s="3">
        <v>1</v>
      </c>
      <c r="E264">
        <f>_xlfn.XLOOKUP(MPS[[#This Row],[Linea]],CAPACIDAD[Linea],CAPACIDAD[Capacidad día/Turno])*MPS[[#This Row],[Turnos]]</f>
        <v>106.64</v>
      </c>
    </row>
    <row r="265" spans="1:5" x14ac:dyDescent="0.3">
      <c r="A265" t="s">
        <v>6</v>
      </c>
      <c r="B265">
        <v>2025</v>
      </c>
      <c r="C265">
        <v>12</v>
      </c>
      <c r="D265" s="3">
        <v>1</v>
      </c>
      <c r="E265">
        <f>_xlfn.XLOOKUP(MPS[[#This Row],[Linea]],CAPACIDAD[Linea],CAPACIDAD[Capacidad día/Turno])*MPS[[#This Row],[Turnos]]</f>
        <v>106.64</v>
      </c>
    </row>
    <row r="266" spans="1:5" x14ac:dyDescent="0.3">
      <c r="A266" t="s">
        <v>6</v>
      </c>
      <c r="B266">
        <v>2025</v>
      </c>
      <c r="C266">
        <v>13</v>
      </c>
      <c r="D266" s="3">
        <v>1</v>
      </c>
      <c r="E266">
        <f>_xlfn.XLOOKUP(MPS[[#This Row],[Linea]],CAPACIDAD[Linea],CAPACIDAD[Capacidad día/Turno])*MPS[[#This Row],[Turnos]]</f>
        <v>106.64</v>
      </c>
    </row>
    <row r="267" spans="1:5" x14ac:dyDescent="0.3">
      <c r="A267" t="s">
        <v>6</v>
      </c>
      <c r="B267">
        <v>2025</v>
      </c>
      <c r="C267">
        <v>14</v>
      </c>
      <c r="D267" s="3">
        <v>1</v>
      </c>
      <c r="E267">
        <f>_xlfn.XLOOKUP(MPS[[#This Row],[Linea]],CAPACIDAD[Linea],CAPACIDAD[Capacidad día/Turno])*MPS[[#This Row],[Turnos]]</f>
        <v>106.64</v>
      </c>
    </row>
    <row r="268" spans="1:5" x14ac:dyDescent="0.3">
      <c r="A268" t="s">
        <v>6</v>
      </c>
      <c r="B268">
        <v>2025</v>
      </c>
      <c r="C268">
        <v>15</v>
      </c>
      <c r="D268" s="3">
        <v>1</v>
      </c>
      <c r="E268">
        <f>_xlfn.XLOOKUP(MPS[[#This Row],[Linea]],CAPACIDAD[Linea],CAPACIDAD[Capacidad día/Turno])*MPS[[#This Row],[Turnos]]</f>
        <v>106.64</v>
      </c>
    </row>
    <row r="269" spans="1:5" x14ac:dyDescent="0.3">
      <c r="A269" t="s">
        <v>6</v>
      </c>
      <c r="B269">
        <v>2025</v>
      </c>
      <c r="C269">
        <v>16</v>
      </c>
      <c r="D269" s="2">
        <v>0</v>
      </c>
      <c r="E269">
        <f>_xlfn.XLOOKUP(MPS[[#This Row],[Linea]],CAPACIDAD[Linea],CAPACIDAD[Capacidad día/Turno])*MPS[[#This Row],[Turnos]]</f>
        <v>0</v>
      </c>
    </row>
    <row r="270" spans="1:5" x14ac:dyDescent="0.3">
      <c r="A270" t="s">
        <v>6</v>
      </c>
      <c r="B270">
        <v>2025</v>
      </c>
      <c r="C270">
        <v>17</v>
      </c>
      <c r="D270" s="2">
        <v>1</v>
      </c>
      <c r="E270">
        <f>_xlfn.XLOOKUP(MPS[[#This Row],[Linea]],CAPACIDAD[Linea],CAPACIDAD[Capacidad día/Turno])*MPS[[#This Row],[Turnos]]</f>
        <v>106.64</v>
      </c>
    </row>
    <row r="271" spans="1:5" x14ac:dyDescent="0.3">
      <c r="A271" t="s">
        <v>6</v>
      </c>
      <c r="B271">
        <v>2025</v>
      </c>
      <c r="C271">
        <v>18</v>
      </c>
      <c r="D271" s="2">
        <v>2</v>
      </c>
      <c r="E271">
        <f>_xlfn.XLOOKUP(MPS[[#This Row],[Linea]],CAPACIDAD[Linea],CAPACIDAD[Capacidad día/Turno])*MPS[[#This Row],[Turnos]]</f>
        <v>213.28</v>
      </c>
    </row>
    <row r="272" spans="1:5" x14ac:dyDescent="0.3">
      <c r="A272" t="s">
        <v>6</v>
      </c>
      <c r="B272">
        <v>2025</v>
      </c>
      <c r="C272">
        <v>19</v>
      </c>
      <c r="D272" s="2">
        <v>2</v>
      </c>
      <c r="E272">
        <f>_xlfn.XLOOKUP(MPS[[#This Row],[Linea]],CAPACIDAD[Linea],CAPACIDAD[Capacidad día/Turno])*MPS[[#This Row],[Turnos]]</f>
        <v>213.28</v>
      </c>
    </row>
    <row r="273" spans="1:5" x14ac:dyDescent="0.3">
      <c r="A273" t="s">
        <v>6</v>
      </c>
      <c r="B273">
        <v>2025</v>
      </c>
      <c r="C273">
        <v>20</v>
      </c>
      <c r="D273" s="2">
        <v>2</v>
      </c>
      <c r="E273">
        <f>_xlfn.XLOOKUP(MPS[[#This Row],[Linea]],CAPACIDAD[Linea],CAPACIDAD[Capacidad día/Turno])*MPS[[#This Row],[Turnos]]</f>
        <v>213.28</v>
      </c>
    </row>
    <row r="274" spans="1:5" x14ac:dyDescent="0.3">
      <c r="A274" t="s">
        <v>6</v>
      </c>
      <c r="B274">
        <v>2025</v>
      </c>
      <c r="C274">
        <v>21</v>
      </c>
      <c r="D274" s="2">
        <v>2</v>
      </c>
      <c r="E274">
        <f>_xlfn.XLOOKUP(MPS[[#This Row],[Linea]],CAPACIDAD[Linea],CAPACIDAD[Capacidad día/Turno])*MPS[[#This Row],[Turnos]]</f>
        <v>213.28</v>
      </c>
    </row>
    <row r="275" spans="1:5" x14ac:dyDescent="0.3">
      <c r="A275" t="s">
        <v>6</v>
      </c>
      <c r="B275">
        <v>2025</v>
      </c>
      <c r="C275">
        <v>22</v>
      </c>
      <c r="D275" s="2">
        <v>2</v>
      </c>
      <c r="E275">
        <f>_xlfn.XLOOKUP(MPS[[#This Row],[Linea]],CAPACIDAD[Linea],CAPACIDAD[Capacidad día/Turno])*MPS[[#This Row],[Turnos]]</f>
        <v>213.28</v>
      </c>
    </row>
    <row r="276" spans="1:5" x14ac:dyDescent="0.3">
      <c r="A276" t="s">
        <v>6</v>
      </c>
      <c r="B276">
        <v>2025</v>
      </c>
      <c r="C276">
        <v>23</v>
      </c>
      <c r="D276" s="2">
        <v>2</v>
      </c>
      <c r="E276">
        <f>_xlfn.XLOOKUP(MPS[[#This Row],[Linea]],CAPACIDAD[Linea],CAPACIDAD[Capacidad día/Turno])*MPS[[#This Row],[Turnos]]</f>
        <v>213.28</v>
      </c>
    </row>
    <row r="277" spans="1:5" x14ac:dyDescent="0.3">
      <c r="A277" t="s">
        <v>6</v>
      </c>
      <c r="B277">
        <v>2025</v>
      </c>
      <c r="C277">
        <v>24</v>
      </c>
      <c r="D277" s="2">
        <v>2</v>
      </c>
      <c r="E277">
        <f>_xlfn.XLOOKUP(MPS[[#This Row],[Linea]],CAPACIDAD[Linea],CAPACIDAD[Capacidad día/Turno])*MPS[[#This Row],[Turnos]]</f>
        <v>213.28</v>
      </c>
    </row>
    <row r="278" spans="1:5" x14ac:dyDescent="0.3">
      <c r="A278" t="s">
        <v>6</v>
      </c>
      <c r="B278">
        <v>2025</v>
      </c>
      <c r="C278">
        <v>25</v>
      </c>
      <c r="D278" s="2">
        <v>2</v>
      </c>
      <c r="E278">
        <f>_xlfn.XLOOKUP(MPS[[#This Row],[Linea]],CAPACIDAD[Linea],CAPACIDAD[Capacidad día/Turno])*MPS[[#This Row],[Turnos]]</f>
        <v>213.28</v>
      </c>
    </row>
    <row r="279" spans="1:5" x14ac:dyDescent="0.3">
      <c r="A279" t="s">
        <v>6</v>
      </c>
      <c r="B279">
        <v>2025</v>
      </c>
      <c r="C279">
        <v>26</v>
      </c>
      <c r="D279" s="2">
        <v>2</v>
      </c>
      <c r="E279">
        <f>_xlfn.XLOOKUP(MPS[[#This Row],[Linea]],CAPACIDAD[Linea],CAPACIDAD[Capacidad día/Turno])*MPS[[#This Row],[Turnos]]</f>
        <v>213.28</v>
      </c>
    </row>
    <row r="280" spans="1:5" x14ac:dyDescent="0.3">
      <c r="A280" t="s">
        <v>6</v>
      </c>
      <c r="B280">
        <v>2025</v>
      </c>
      <c r="C280">
        <v>27</v>
      </c>
      <c r="D280" s="2">
        <v>2</v>
      </c>
      <c r="E280">
        <f>_xlfn.XLOOKUP(MPS[[#This Row],[Linea]],CAPACIDAD[Linea],CAPACIDAD[Capacidad día/Turno])*MPS[[#This Row],[Turnos]]</f>
        <v>213.28</v>
      </c>
    </row>
    <row r="281" spans="1:5" x14ac:dyDescent="0.3">
      <c r="A281" t="s">
        <v>6</v>
      </c>
      <c r="B281">
        <v>2025</v>
      </c>
      <c r="C281">
        <v>28</v>
      </c>
      <c r="D281" s="2">
        <v>2</v>
      </c>
      <c r="E281">
        <f>_xlfn.XLOOKUP(MPS[[#This Row],[Linea]],CAPACIDAD[Linea],CAPACIDAD[Capacidad día/Turno])*MPS[[#This Row],[Turnos]]</f>
        <v>213.28</v>
      </c>
    </row>
    <row r="282" spans="1:5" x14ac:dyDescent="0.3">
      <c r="A282" t="s">
        <v>6</v>
      </c>
      <c r="B282">
        <v>2025</v>
      </c>
      <c r="C282">
        <v>29</v>
      </c>
      <c r="D282" s="2">
        <v>2</v>
      </c>
      <c r="E282">
        <f>_xlfn.XLOOKUP(MPS[[#This Row],[Linea]],CAPACIDAD[Linea],CAPACIDAD[Capacidad día/Turno])*MPS[[#This Row],[Turnos]]</f>
        <v>213.28</v>
      </c>
    </row>
    <row r="283" spans="1:5" x14ac:dyDescent="0.3">
      <c r="A283" t="s">
        <v>6</v>
      </c>
      <c r="B283">
        <v>2025</v>
      </c>
      <c r="C283">
        <v>30</v>
      </c>
      <c r="D283" s="2">
        <v>2</v>
      </c>
      <c r="E283">
        <f>_xlfn.XLOOKUP(MPS[[#This Row],[Linea]],CAPACIDAD[Linea],CAPACIDAD[Capacidad día/Turno])*MPS[[#This Row],[Turnos]]</f>
        <v>213.28</v>
      </c>
    </row>
    <row r="284" spans="1:5" x14ac:dyDescent="0.3">
      <c r="A284" t="s">
        <v>6</v>
      </c>
      <c r="B284">
        <v>2025</v>
      </c>
      <c r="C284">
        <v>31</v>
      </c>
      <c r="D284" s="2">
        <v>2</v>
      </c>
      <c r="E284">
        <f>_xlfn.XLOOKUP(MPS[[#This Row],[Linea]],CAPACIDAD[Linea],CAPACIDAD[Capacidad día/Turno])*MPS[[#This Row],[Turnos]]</f>
        <v>213.28</v>
      </c>
    </row>
    <row r="285" spans="1:5" x14ac:dyDescent="0.3">
      <c r="A285" t="s">
        <v>6</v>
      </c>
      <c r="B285">
        <v>2025</v>
      </c>
      <c r="C285">
        <v>32</v>
      </c>
      <c r="D285" s="2">
        <v>2</v>
      </c>
      <c r="E285">
        <f>_xlfn.XLOOKUP(MPS[[#This Row],[Linea]],CAPACIDAD[Linea],CAPACIDAD[Capacidad día/Turno])*MPS[[#This Row],[Turnos]]</f>
        <v>213.28</v>
      </c>
    </row>
    <row r="286" spans="1:5" x14ac:dyDescent="0.3">
      <c r="A286" t="s">
        <v>6</v>
      </c>
      <c r="B286">
        <v>2025</v>
      </c>
      <c r="C286">
        <v>33</v>
      </c>
      <c r="D286" s="2">
        <v>0</v>
      </c>
      <c r="E286">
        <f>_xlfn.XLOOKUP(MPS[[#This Row],[Linea]],CAPACIDAD[Linea],CAPACIDAD[Capacidad día/Turno])*MPS[[#This Row],[Turnos]]</f>
        <v>0</v>
      </c>
    </row>
    <row r="287" spans="1:5" x14ac:dyDescent="0.3">
      <c r="A287" t="s">
        <v>6</v>
      </c>
      <c r="B287">
        <v>2025</v>
      </c>
      <c r="C287">
        <v>34</v>
      </c>
      <c r="D287" s="2">
        <v>0</v>
      </c>
      <c r="E287">
        <f>_xlfn.XLOOKUP(MPS[[#This Row],[Linea]],CAPACIDAD[Linea],CAPACIDAD[Capacidad día/Turno])*MPS[[#This Row],[Turnos]]</f>
        <v>0</v>
      </c>
    </row>
    <row r="288" spans="1:5" x14ac:dyDescent="0.3">
      <c r="A288" t="s">
        <v>6</v>
      </c>
      <c r="B288">
        <v>2025</v>
      </c>
      <c r="C288">
        <v>35</v>
      </c>
      <c r="D288" s="2">
        <v>0</v>
      </c>
      <c r="E288">
        <f>_xlfn.XLOOKUP(MPS[[#This Row],[Linea]],CAPACIDAD[Linea],CAPACIDAD[Capacidad día/Turno])*MPS[[#This Row],[Turnos]]</f>
        <v>0</v>
      </c>
    </row>
    <row r="289" spans="1:5" x14ac:dyDescent="0.3">
      <c r="A289" t="s">
        <v>7</v>
      </c>
      <c r="B289">
        <v>2024</v>
      </c>
      <c r="C289">
        <v>47</v>
      </c>
      <c r="D289" s="2">
        <v>2</v>
      </c>
      <c r="E289">
        <f>_xlfn.XLOOKUP(MPS[[#This Row],[Linea]],CAPACIDAD[Linea],CAPACIDAD[Capacidad día/Turno])*MPS[[#This Row],[Turnos]]</f>
        <v>55.8</v>
      </c>
    </row>
    <row r="290" spans="1:5" x14ac:dyDescent="0.3">
      <c r="A290" t="s">
        <v>7</v>
      </c>
      <c r="B290">
        <v>2024</v>
      </c>
      <c r="C290">
        <v>48</v>
      </c>
      <c r="D290" s="3">
        <v>2</v>
      </c>
      <c r="E290">
        <f>_xlfn.XLOOKUP(MPS[[#This Row],[Linea]],CAPACIDAD[Linea],CAPACIDAD[Capacidad día/Turno])*MPS[[#This Row],[Turnos]]</f>
        <v>55.8</v>
      </c>
    </row>
    <row r="291" spans="1:5" x14ac:dyDescent="0.3">
      <c r="A291" t="s">
        <v>7</v>
      </c>
      <c r="B291">
        <v>2024</v>
      </c>
      <c r="C291">
        <v>49</v>
      </c>
      <c r="D291" s="2">
        <v>2</v>
      </c>
      <c r="E291">
        <f>_xlfn.XLOOKUP(MPS[[#This Row],[Linea]],CAPACIDAD[Linea],CAPACIDAD[Capacidad día/Turno])*MPS[[#This Row],[Turnos]]</f>
        <v>55.8</v>
      </c>
    </row>
    <row r="292" spans="1:5" x14ac:dyDescent="0.3">
      <c r="A292" t="s">
        <v>7</v>
      </c>
      <c r="B292">
        <v>2024</v>
      </c>
      <c r="C292">
        <v>50</v>
      </c>
      <c r="D292" s="3">
        <v>2</v>
      </c>
      <c r="E292">
        <f>_xlfn.XLOOKUP(MPS[[#This Row],[Linea]],CAPACIDAD[Linea],CAPACIDAD[Capacidad día/Turno])*MPS[[#This Row],[Turnos]]</f>
        <v>55.8</v>
      </c>
    </row>
    <row r="293" spans="1:5" x14ac:dyDescent="0.3">
      <c r="A293" t="s">
        <v>7</v>
      </c>
      <c r="B293">
        <v>2024</v>
      </c>
      <c r="C293">
        <v>51</v>
      </c>
      <c r="D293" s="2">
        <v>2</v>
      </c>
      <c r="E293">
        <f>_xlfn.XLOOKUP(MPS[[#This Row],[Linea]],CAPACIDAD[Linea],CAPACIDAD[Capacidad día/Turno])*MPS[[#This Row],[Turnos]]</f>
        <v>55.8</v>
      </c>
    </row>
    <row r="294" spans="1:5" x14ac:dyDescent="0.3">
      <c r="A294" t="s">
        <v>7</v>
      </c>
      <c r="B294">
        <v>2025</v>
      </c>
      <c r="C294">
        <v>2</v>
      </c>
      <c r="D294" s="3">
        <v>2</v>
      </c>
      <c r="E294">
        <f>_xlfn.XLOOKUP(MPS[[#This Row],[Linea]],CAPACIDAD[Linea],CAPACIDAD[Capacidad día/Turno])*MPS[[#This Row],[Turnos]]</f>
        <v>55.8</v>
      </c>
    </row>
    <row r="295" spans="1:5" x14ac:dyDescent="0.3">
      <c r="A295" t="s">
        <v>7</v>
      </c>
      <c r="B295">
        <v>2025</v>
      </c>
      <c r="C295">
        <v>3</v>
      </c>
      <c r="D295" s="2">
        <v>3</v>
      </c>
      <c r="E295">
        <f>_xlfn.XLOOKUP(MPS[[#This Row],[Linea]],CAPACIDAD[Linea],CAPACIDAD[Capacidad día/Turno])*MPS[[#This Row],[Turnos]]</f>
        <v>83.699999999999989</v>
      </c>
    </row>
    <row r="296" spans="1:5" x14ac:dyDescent="0.3">
      <c r="A296" t="s">
        <v>7</v>
      </c>
      <c r="B296">
        <v>2025</v>
      </c>
      <c r="C296">
        <v>4</v>
      </c>
      <c r="D296" s="3">
        <v>3</v>
      </c>
      <c r="E296">
        <f>_xlfn.XLOOKUP(MPS[[#This Row],[Linea]],CAPACIDAD[Linea],CAPACIDAD[Capacidad día/Turno])*MPS[[#This Row],[Turnos]]</f>
        <v>83.699999999999989</v>
      </c>
    </row>
    <row r="297" spans="1:5" x14ac:dyDescent="0.3">
      <c r="A297" t="s">
        <v>7</v>
      </c>
      <c r="B297">
        <v>2025</v>
      </c>
      <c r="C297">
        <v>5</v>
      </c>
      <c r="D297" s="2">
        <v>3</v>
      </c>
      <c r="E297">
        <f>_xlfn.XLOOKUP(MPS[[#This Row],[Linea]],CAPACIDAD[Linea],CAPACIDAD[Capacidad día/Turno])*MPS[[#This Row],[Turnos]]</f>
        <v>83.699999999999989</v>
      </c>
    </row>
    <row r="298" spans="1:5" x14ac:dyDescent="0.3">
      <c r="A298" t="s">
        <v>7</v>
      </c>
      <c r="B298">
        <v>2025</v>
      </c>
      <c r="C298">
        <v>6</v>
      </c>
      <c r="D298" s="3">
        <v>3</v>
      </c>
      <c r="E298">
        <f>_xlfn.XLOOKUP(MPS[[#This Row],[Linea]],CAPACIDAD[Linea],CAPACIDAD[Capacidad día/Turno])*MPS[[#This Row],[Turnos]]</f>
        <v>83.699999999999989</v>
      </c>
    </row>
    <row r="299" spans="1:5" x14ac:dyDescent="0.3">
      <c r="A299" t="s">
        <v>7</v>
      </c>
      <c r="B299">
        <v>2025</v>
      </c>
      <c r="C299">
        <v>7</v>
      </c>
      <c r="D299" s="2">
        <v>0</v>
      </c>
      <c r="E299">
        <f>_xlfn.XLOOKUP(MPS[[#This Row],[Linea]],CAPACIDAD[Linea],CAPACIDAD[Capacidad día/Turno])*MPS[[#This Row],[Turnos]]</f>
        <v>0</v>
      </c>
    </row>
    <row r="300" spans="1:5" x14ac:dyDescent="0.3">
      <c r="A300" t="s">
        <v>7</v>
      </c>
      <c r="B300">
        <v>2025</v>
      </c>
      <c r="C300">
        <v>8</v>
      </c>
      <c r="D300" s="3">
        <v>0</v>
      </c>
      <c r="E300">
        <f>_xlfn.XLOOKUP(MPS[[#This Row],[Linea]],CAPACIDAD[Linea],CAPACIDAD[Capacidad día/Turno])*MPS[[#This Row],[Turnos]]</f>
        <v>0</v>
      </c>
    </row>
    <row r="301" spans="1:5" x14ac:dyDescent="0.3">
      <c r="A301" t="s">
        <v>7</v>
      </c>
      <c r="B301">
        <v>2025</v>
      </c>
      <c r="C301">
        <v>9</v>
      </c>
      <c r="D301" s="2">
        <v>0</v>
      </c>
      <c r="E301">
        <f>_xlfn.XLOOKUP(MPS[[#This Row],[Linea]],CAPACIDAD[Linea],CAPACIDAD[Capacidad día/Turno])*MPS[[#This Row],[Turnos]]</f>
        <v>0</v>
      </c>
    </row>
    <row r="302" spans="1:5" x14ac:dyDescent="0.3">
      <c r="A302" t="s">
        <v>7</v>
      </c>
      <c r="B302">
        <v>2025</v>
      </c>
      <c r="C302">
        <v>10</v>
      </c>
      <c r="D302" s="2">
        <v>0</v>
      </c>
      <c r="E302">
        <f>_xlfn.XLOOKUP(MPS[[#This Row],[Linea]],CAPACIDAD[Linea],CAPACIDAD[Capacidad día/Turno])*MPS[[#This Row],[Turnos]]</f>
        <v>0</v>
      </c>
    </row>
    <row r="303" spans="1:5" x14ac:dyDescent="0.3">
      <c r="A303" t="s">
        <v>8</v>
      </c>
      <c r="B303">
        <v>2024</v>
      </c>
      <c r="C303">
        <v>47</v>
      </c>
      <c r="D303" s="3">
        <v>0</v>
      </c>
      <c r="E303">
        <f>_xlfn.XLOOKUP(MPS[[#This Row],[Linea]],CAPACIDAD[Linea],CAPACIDAD[Capacidad día/Turno])*MPS[[#This Row],[Turnos]]</f>
        <v>0</v>
      </c>
    </row>
    <row r="304" spans="1:5" x14ac:dyDescent="0.3">
      <c r="A304" t="s">
        <v>8</v>
      </c>
      <c r="B304">
        <v>2024</v>
      </c>
      <c r="C304">
        <v>48</v>
      </c>
      <c r="D304" s="2">
        <v>0</v>
      </c>
      <c r="E304">
        <f>_xlfn.XLOOKUP(MPS[[#This Row],[Linea]],CAPACIDAD[Linea],CAPACIDAD[Capacidad día/Turno])*MPS[[#This Row],[Turnos]]</f>
        <v>0</v>
      </c>
    </row>
    <row r="305" spans="1:5" x14ac:dyDescent="0.3">
      <c r="A305" t="s">
        <v>8</v>
      </c>
      <c r="B305">
        <v>2024</v>
      </c>
      <c r="C305">
        <v>49</v>
      </c>
      <c r="D305" s="3">
        <v>0</v>
      </c>
      <c r="E305">
        <f>_xlfn.XLOOKUP(MPS[[#This Row],[Linea]],CAPACIDAD[Linea],CAPACIDAD[Capacidad día/Turno])*MPS[[#This Row],[Turnos]]</f>
        <v>0</v>
      </c>
    </row>
    <row r="306" spans="1:5" x14ac:dyDescent="0.3">
      <c r="A306" t="s">
        <v>8</v>
      </c>
      <c r="B306">
        <v>2024</v>
      </c>
      <c r="C306">
        <v>50</v>
      </c>
      <c r="D306" s="2">
        <v>0</v>
      </c>
      <c r="E306">
        <f>_xlfn.XLOOKUP(MPS[[#This Row],[Linea]],CAPACIDAD[Linea],CAPACIDAD[Capacidad día/Turno])*MPS[[#This Row],[Turnos]]</f>
        <v>0</v>
      </c>
    </row>
    <row r="307" spans="1:5" x14ac:dyDescent="0.3">
      <c r="A307" t="s">
        <v>8</v>
      </c>
      <c r="B307">
        <v>2024</v>
      </c>
      <c r="C307">
        <v>51</v>
      </c>
      <c r="D307" s="3">
        <v>0</v>
      </c>
      <c r="E307">
        <f>_xlfn.XLOOKUP(MPS[[#This Row],[Linea]],CAPACIDAD[Linea],CAPACIDAD[Capacidad día/Turno])*MPS[[#This Row],[Turnos]]</f>
        <v>0</v>
      </c>
    </row>
    <row r="308" spans="1:5" x14ac:dyDescent="0.3">
      <c r="A308" t="s">
        <v>8</v>
      </c>
      <c r="B308">
        <v>2025</v>
      </c>
      <c r="C308">
        <v>2</v>
      </c>
      <c r="D308" s="2">
        <v>0</v>
      </c>
      <c r="E308">
        <f>_xlfn.XLOOKUP(MPS[[#This Row],[Linea]],CAPACIDAD[Linea],CAPACIDAD[Capacidad día/Turno])*MPS[[#This Row],[Turnos]]</f>
        <v>0</v>
      </c>
    </row>
    <row r="309" spans="1:5" x14ac:dyDescent="0.3">
      <c r="A309" t="s">
        <v>8</v>
      </c>
      <c r="B309">
        <v>2025</v>
      </c>
      <c r="C309">
        <v>3</v>
      </c>
      <c r="D309" s="3">
        <v>1</v>
      </c>
      <c r="E309">
        <f>_xlfn.XLOOKUP(MPS[[#This Row],[Linea]],CAPACIDAD[Linea],CAPACIDAD[Capacidad día/Turno])*MPS[[#This Row],[Turnos]]</f>
        <v>41.85</v>
      </c>
    </row>
    <row r="310" spans="1:5" x14ac:dyDescent="0.3">
      <c r="A310" t="s">
        <v>8</v>
      </c>
      <c r="B310">
        <v>2025</v>
      </c>
      <c r="C310">
        <v>4</v>
      </c>
      <c r="D310" s="2">
        <v>1</v>
      </c>
      <c r="E310">
        <f>_xlfn.XLOOKUP(MPS[[#This Row],[Linea]],CAPACIDAD[Linea],CAPACIDAD[Capacidad día/Turno])*MPS[[#This Row],[Turnos]]</f>
        <v>41.85</v>
      </c>
    </row>
    <row r="311" spans="1:5" x14ac:dyDescent="0.3">
      <c r="A311" t="s">
        <v>8</v>
      </c>
      <c r="B311">
        <v>2025</v>
      </c>
      <c r="C311">
        <v>5</v>
      </c>
      <c r="D311" s="3">
        <v>1</v>
      </c>
      <c r="E311">
        <f>_xlfn.XLOOKUP(MPS[[#This Row],[Linea]],CAPACIDAD[Linea],CAPACIDAD[Capacidad día/Turno])*MPS[[#This Row],[Turnos]]</f>
        <v>41.85</v>
      </c>
    </row>
    <row r="312" spans="1:5" x14ac:dyDescent="0.3">
      <c r="A312" t="s">
        <v>8</v>
      </c>
      <c r="B312">
        <v>2025</v>
      </c>
      <c r="C312">
        <v>6</v>
      </c>
      <c r="D312" s="2">
        <v>1</v>
      </c>
      <c r="E312">
        <f>_xlfn.XLOOKUP(MPS[[#This Row],[Linea]],CAPACIDAD[Linea],CAPACIDAD[Capacidad día/Turno])*MPS[[#This Row],[Turnos]]</f>
        <v>41.85</v>
      </c>
    </row>
    <row r="313" spans="1:5" x14ac:dyDescent="0.3">
      <c r="A313" t="s">
        <v>8</v>
      </c>
      <c r="B313">
        <v>2025</v>
      </c>
      <c r="C313">
        <v>7</v>
      </c>
      <c r="D313" s="3">
        <v>1</v>
      </c>
      <c r="E313">
        <f>_xlfn.XLOOKUP(MPS[[#This Row],[Linea]],CAPACIDAD[Linea],CAPACIDAD[Capacidad día/Turno])*MPS[[#This Row],[Turnos]]</f>
        <v>41.85</v>
      </c>
    </row>
    <row r="314" spans="1:5" x14ac:dyDescent="0.3">
      <c r="A314" t="s">
        <v>8</v>
      </c>
      <c r="B314">
        <v>2025</v>
      </c>
      <c r="C314">
        <v>8</v>
      </c>
      <c r="D314" s="2">
        <v>0.5</v>
      </c>
      <c r="E314">
        <f>_xlfn.XLOOKUP(MPS[[#This Row],[Linea]],CAPACIDAD[Linea],CAPACIDAD[Capacidad día/Turno])*MPS[[#This Row],[Turnos]]</f>
        <v>20.925000000000001</v>
      </c>
    </row>
    <row r="315" spans="1:5" x14ac:dyDescent="0.3">
      <c r="A315" t="s">
        <v>8</v>
      </c>
      <c r="B315">
        <v>2025</v>
      </c>
      <c r="C315">
        <v>9</v>
      </c>
      <c r="D315" s="3">
        <v>0</v>
      </c>
      <c r="E315">
        <f>_xlfn.XLOOKUP(MPS[[#This Row],[Linea]],CAPACIDAD[Linea],CAPACIDAD[Capacidad día/Turno])*MPS[[#This Row],[Turnos]]</f>
        <v>0</v>
      </c>
    </row>
    <row r="316" spans="1:5" x14ac:dyDescent="0.3">
      <c r="A316" t="s">
        <v>8</v>
      </c>
      <c r="B316">
        <v>2025</v>
      </c>
      <c r="C316">
        <v>10</v>
      </c>
      <c r="D316" s="2">
        <v>0.5</v>
      </c>
      <c r="E316">
        <f>_xlfn.XLOOKUP(MPS[[#This Row],[Linea]],CAPACIDAD[Linea],CAPACIDAD[Capacidad día/Turno])*MPS[[#This Row],[Turnos]]</f>
        <v>20.925000000000001</v>
      </c>
    </row>
    <row r="317" spans="1:5" x14ac:dyDescent="0.3">
      <c r="A317" t="s">
        <v>8</v>
      </c>
      <c r="B317">
        <v>2025</v>
      </c>
      <c r="C317">
        <v>11</v>
      </c>
      <c r="D317" s="2">
        <v>0.5</v>
      </c>
      <c r="E317">
        <f>_xlfn.XLOOKUP(MPS[[#This Row],[Linea]],CAPACIDAD[Linea],CAPACIDAD[Capacidad día/Turno])*MPS[[#This Row],[Turnos]]</f>
        <v>20.925000000000001</v>
      </c>
    </row>
    <row r="318" spans="1:5" x14ac:dyDescent="0.3">
      <c r="A318" t="s">
        <v>8</v>
      </c>
      <c r="B318">
        <v>2025</v>
      </c>
      <c r="C318">
        <v>12</v>
      </c>
      <c r="D318" s="2">
        <v>0</v>
      </c>
      <c r="E318">
        <f>_xlfn.XLOOKUP(MPS[[#This Row],[Linea]],CAPACIDAD[Linea],CAPACIDAD[Capacidad día/Turno])*MPS[[#This Row],[Turnos]]</f>
        <v>0</v>
      </c>
    </row>
    <row r="319" spans="1:5" x14ac:dyDescent="0.3">
      <c r="A319" t="s">
        <v>8</v>
      </c>
      <c r="B319">
        <v>2025</v>
      </c>
      <c r="C319">
        <v>13</v>
      </c>
      <c r="D319" s="2">
        <v>0</v>
      </c>
      <c r="E319">
        <f>_xlfn.XLOOKUP(MPS[[#This Row],[Linea]],CAPACIDAD[Linea],CAPACIDAD[Capacidad día/Turno])*MPS[[#This Row],[Turnos]]</f>
        <v>0</v>
      </c>
    </row>
    <row r="320" spans="1:5" x14ac:dyDescent="0.3">
      <c r="A320" t="s">
        <v>8</v>
      </c>
      <c r="B320">
        <v>2025</v>
      </c>
      <c r="C320">
        <v>14</v>
      </c>
      <c r="D320" s="2">
        <v>0.5</v>
      </c>
      <c r="E320">
        <f>_xlfn.XLOOKUP(MPS[[#This Row],[Linea]],CAPACIDAD[Linea],CAPACIDAD[Capacidad día/Turno])*MPS[[#This Row],[Turnos]]</f>
        <v>20.925000000000001</v>
      </c>
    </row>
    <row r="321" spans="1:5" x14ac:dyDescent="0.3">
      <c r="A321" t="s">
        <v>8</v>
      </c>
      <c r="B321">
        <v>2025</v>
      </c>
      <c r="C321">
        <v>15</v>
      </c>
      <c r="D321" s="2">
        <v>1</v>
      </c>
      <c r="E321">
        <f>_xlfn.XLOOKUP(MPS[[#This Row],[Linea]],CAPACIDAD[Linea],CAPACIDAD[Capacidad día/Turno])*MPS[[#This Row],[Turnos]]</f>
        <v>41.85</v>
      </c>
    </row>
    <row r="322" spans="1:5" x14ac:dyDescent="0.3">
      <c r="A322" t="s">
        <v>8</v>
      </c>
      <c r="B322">
        <v>2025</v>
      </c>
      <c r="C322">
        <v>16</v>
      </c>
      <c r="D322" s="2">
        <v>0</v>
      </c>
      <c r="E322">
        <f>_xlfn.XLOOKUP(MPS[[#This Row],[Linea]],CAPACIDAD[Linea],CAPACIDAD[Capacidad día/Turno])*MPS[[#This Row],[Turnos]]</f>
        <v>0</v>
      </c>
    </row>
    <row r="323" spans="1:5" x14ac:dyDescent="0.3">
      <c r="A323" t="s">
        <v>8</v>
      </c>
      <c r="B323">
        <v>2025</v>
      </c>
      <c r="C323">
        <v>17</v>
      </c>
      <c r="D323" s="2">
        <v>1</v>
      </c>
      <c r="E323">
        <f>_xlfn.XLOOKUP(MPS[[#This Row],[Linea]],CAPACIDAD[Linea],CAPACIDAD[Capacidad día/Turno])*MPS[[#This Row],[Turnos]]</f>
        <v>41.85</v>
      </c>
    </row>
    <row r="324" spans="1:5" x14ac:dyDescent="0.3">
      <c r="A324" t="s">
        <v>8</v>
      </c>
      <c r="B324">
        <v>2025</v>
      </c>
      <c r="C324">
        <v>18</v>
      </c>
      <c r="D324" s="2">
        <v>1</v>
      </c>
      <c r="E324">
        <f>_xlfn.XLOOKUP(MPS[[#This Row],[Linea]],CAPACIDAD[Linea],CAPACIDAD[Capacidad día/Turno])*MPS[[#This Row],[Turnos]]</f>
        <v>41.85</v>
      </c>
    </row>
    <row r="325" spans="1:5" x14ac:dyDescent="0.3">
      <c r="A325" t="s">
        <v>8</v>
      </c>
      <c r="B325">
        <v>2025</v>
      </c>
      <c r="C325">
        <v>19</v>
      </c>
      <c r="D325" s="2">
        <v>1</v>
      </c>
      <c r="E325">
        <f>_xlfn.XLOOKUP(MPS[[#This Row],[Linea]],CAPACIDAD[Linea],CAPACIDAD[Capacidad día/Turno])*MPS[[#This Row],[Turnos]]</f>
        <v>41.85</v>
      </c>
    </row>
    <row r="326" spans="1:5" x14ac:dyDescent="0.3">
      <c r="A326" t="s">
        <v>8</v>
      </c>
      <c r="B326">
        <v>2025</v>
      </c>
      <c r="C326">
        <v>20</v>
      </c>
      <c r="D326" s="2">
        <v>1</v>
      </c>
      <c r="E326">
        <f>_xlfn.XLOOKUP(MPS[[#This Row],[Linea]],CAPACIDAD[Linea],CAPACIDAD[Capacidad día/Turno])*MPS[[#This Row],[Turnos]]</f>
        <v>41.85</v>
      </c>
    </row>
    <row r="327" spans="1:5" x14ac:dyDescent="0.3">
      <c r="A327" t="s">
        <v>8</v>
      </c>
      <c r="B327">
        <v>2025</v>
      </c>
      <c r="C327">
        <v>21</v>
      </c>
      <c r="D327" s="2">
        <v>1</v>
      </c>
      <c r="E327">
        <f>_xlfn.XLOOKUP(MPS[[#This Row],[Linea]],CAPACIDAD[Linea],CAPACIDAD[Capacidad día/Turno])*MPS[[#This Row],[Turnos]]</f>
        <v>41.85</v>
      </c>
    </row>
    <row r="328" spans="1:5" x14ac:dyDescent="0.3">
      <c r="A328" t="s">
        <v>8</v>
      </c>
      <c r="B328">
        <v>2025</v>
      </c>
      <c r="C328">
        <v>22</v>
      </c>
      <c r="D328" s="2">
        <v>1</v>
      </c>
      <c r="E328">
        <f>_xlfn.XLOOKUP(MPS[[#This Row],[Linea]],CAPACIDAD[Linea],CAPACIDAD[Capacidad día/Turno])*MPS[[#This Row],[Turnos]]</f>
        <v>41.85</v>
      </c>
    </row>
    <row r="329" spans="1:5" x14ac:dyDescent="0.3">
      <c r="A329" t="s">
        <v>8</v>
      </c>
      <c r="B329">
        <v>2025</v>
      </c>
      <c r="C329">
        <v>23</v>
      </c>
      <c r="D329" s="2">
        <v>1</v>
      </c>
      <c r="E329">
        <f>_xlfn.XLOOKUP(MPS[[#This Row],[Linea]],CAPACIDAD[Linea],CAPACIDAD[Capacidad día/Turno])*MPS[[#This Row],[Turnos]]</f>
        <v>41.85</v>
      </c>
    </row>
    <row r="330" spans="1:5" x14ac:dyDescent="0.3">
      <c r="A330" t="s">
        <v>8</v>
      </c>
      <c r="B330">
        <v>2025</v>
      </c>
      <c r="C330">
        <v>24</v>
      </c>
      <c r="D330" s="2">
        <v>1</v>
      </c>
      <c r="E330">
        <f>_xlfn.XLOOKUP(MPS[[#This Row],[Linea]],CAPACIDAD[Linea],CAPACIDAD[Capacidad día/Turno])*MPS[[#This Row],[Turnos]]</f>
        <v>41.85</v>
      </c>
    </row>
    <row r="331" spans="1:5" x14ac:dyDescent="0.3">
      <c r="A331" t="s">
        <v>8</v>
      </c>
      <c r="B331">
        <v>2025</v>
      </c>
      <c r="C331">
        <v>25</v>
      </c>
      <c r="D331" s="2">
        <v>1</v>
      </c>
      <c r="E331">
        <f>_xlfn.XLOOKUP(MPS[[#This Row],[Linea]],CAPACIDAD[Linea],CAPACIDAD[Capacidad día/Turno])*MPS[[#This Row],[Turnos]]</f>
        <v>41.85</v>
      </c>
    </row>
    <row r="332" spans="1:5" x14ac:dyDescent="0.3">
      <c r="A332" t="s">
        <v>8</v>
      </c>
      <c r="B332">
        <v>2025</v>
      </c>
      <c r="C332">
        <v>26</v>
      </c>
      <c r="D332" s="2">
        <v>1</v>
      </c>
      <c r="E332">
        <f>_xlfn.XLOOKUP(MPS[[#This Row],[Linea]],CAPACIDAD[Linea],CAPACIDAD[Capacidad día/Turno])*MPS[[#This Row],[Turnos]]</f>
        <v>41.85</v>
      </c>
    </row>
    <row r="333" spans="1:5" x14ac:dyDescent="0.3">
      <c r="A333" t="s">
        <v>8</v>
      </c>
      <c r="B333">
        <v>2025</v>
      </c>
      <c r="C333">
        <v>27</v>
      </c>
      <c r="D333" s="2">
        <v>1.5</v>
      </c>
      <c r="E333">
        <f>_xlfn.XLOOKUP(MPS[[#This Row],[Linea]],CAPACIDAD[Linea],CAPACIDAD[Capacidad día/Turno])*MPS[[#This Row],[Turnos]]</f>
        <v>62.775000000000006</v>
      </c>
    </row>
    <row r="334" spans="1:5" x14ac:dyDescent="0.3">
      <c r="A334" t="s">
        <v>8</v>
      </c>
      <c r="B334">
        <v>2025</v>
      </c>
      <c r="C334">
        <v>28</v>
      </c>
      <c r="D334" s="2">
        <v>1.5</v>
      </c>
      <c r="E334">
        <f>_xlfn.XLOOKUP(MPS[[#This Row],[Linea]],CAPACIDAD[Linea],CAPACIDAD[Capacidad día/Turno])*MPS[[#This Row],[Turnos]]</f>
        <v>62.775000000000006</v>
      </c>
    </row>
    <row r="335" spans="1:5" x14ac:dyDescent="0.3">
      <c r="A335" t="s">
        <v>8</v>
      </c>
      <c r="B335">
        <v>2025</v>
      </c>
      <c r="C335">
        <v>29</v>
      </c>
      <c r="D335" s="2">
        <v>1.5</v>
      </c>
      <c r="E335">
        <f>_xlfn.XLOOKUP(MPS[[#This Row],[Linea]],CAPACIDAD[Linea],CAPACIDAD[Capacidad día/Turno])*MPS[[#This Row],[Turnos]]</f>
        <v>62.775000000000006</v>
      </c>
    </row>
    <row r="336" spans="1:5" x14ac:dyDescent="0.3">
      <c r="A336" t="s">
        <v>8</v>
      </c>
      <c r="B336">
        <v>2025</v>
      </c>
      <c r="C336">
        <v>30</v>
      </c>
      <c r="D336" s="2">
        <v>1.5</v>
      </c>
      <c r="E336">
        <f>_xlfn.XLOOKUP(MPS[[#This Row],[Linea]],CAPACIDAD[Linea],CAPACIDAD[Capacidad día/Turno])*MPS[[#This Row],[Turnos]]</f>
        <v>62.775000000000006</v>
      </c>
    </row>
    <row r="337" spans="1:5" x14ac:dyDescent="0.3">
      <c r="A337" t="s">
        <v>8</v>
      </c>
      <c r="B337">
        <v>2025</v>
      </c>
      <c r="C337">
        <v>31</v>
      </c>
      <c r="D337" s="2">
        <v>1.5</v>
      </c>
      <c r="E337">
        <f>_xlfn.XLOOKUP(MPS[[#This Row],[Linea]],CAPACIDAD[Linea],CAPACIDAD[Capacidad día/Turno])*MPS[[#This Row],[Turnos]]</f>
        <v>62.775000000000006</v>
      </c>
    </row>
    <row r="338" spans="1:5" x14ac:dyDescent="0.3">
      <c r="A338" t="s">
        <v>8</v>
      </c>
      <c r="B338">
        <v>2025</v>
      </c>
      <c r="C338">
        <v>32</v>
      </c>
      <c r="D338" s="2">
        <v>1.5</v>
      </c>
      <c r="E338">
        <f>_xlfn.XLOOKUP(MPS[[#This Row],[Linea]],CAPACIDAD[Linea],CAPACIDAD[Capacidad día/Turno])*MPS[[#This Row],[Turnos]]</f>
        <v>62.775000000000006</v>
      </c>
    </row>
    <row r="339" spans="1:5" x14ac:dyDescent="0.3">
      <c r="A339" t="s">
        <v>8</v>
      </c>
      <c r="B339">
        <v>2025</v>
      </c>
      <c r="C339">
        <v>33</v>
      </c>
      <c r="D339" s="2">
        <v>0</v>
      </c>
      <c r="E339">
        <f>_xlfn.XLOOKUP(MPS[[#This Row],[Linea]],CAPACIDAD[Linea],CAPACIDAD[Capacidad día/Turno])*MPS[[#This Row],[Turnos]]</f>
        <v>0</v>
      </c>
    </row>
    <row r="340" spans="1:5" x14ac:dyDescent="0.3">
      <c r="A340" t="s">
        <v>8</v>
      </c>
      <c r="B340">
        <v>2025</v>
      </c>
      <c r="C340">
        <v>34</v>
      </c>
      <c r="D340" s="2">
        <v>0</v>
      </c>
      <c r="E340">
        <f>_xlfn.XLOOKUP(MPS[[#This Row],[Linea]],CAPACIDAD[Linea],CAPACIDAD[Capacidad día/Turno])*MPS[[#This Row],[Turnos]]</f>
        <v>0</v>
      </c>
    </row>
    <row r="341" spans="1:5" x14ac:dyDescent="0.3">
      <c r="A341" t="s">
        <v>8</v>
      </c>
      <c r="B341">
        <v>2025</v>
      </c>
      <c r="C341">
        <v>35</v>
      </c>
      <c r="D341" s="2">
        <v>0</v>
      </c>
      <c r="E341">
        <f>_xlfn.XLOOKUP(MPS[[#This Row],[Linea]],CAPACIDAD[Linea],CAPACIDAD[Capacidad día/Turno])*MPS[[#This Row],[Turnos]]</f>
        <v>0</v>
      </c>
    </row>
    <row r="342" spans="1:5" x14ac:dyDescent="0.3">
      <c r="A342" t="s">
        <v>9</v>
      </c>
      <c r="B342">
        <v>2024</v>
      </c>
      <c r="C342">
        <v>47</v>
      </c>
      <c r="D342" s="2">
        <v>1.5</v>
      </c>
      <c r="E342">
        <f>_xlfn.XLOOKUP(MPS[[#This Row],[Linea]],CAPACIDAD[Linea],CAPACIDAD[Capacidad día/Turno])*MPS[[#This Row],[Turnos]]</f>
        <v>83.7</v>
      </c>
    </row>
    <row r="343" spans="1:5" x14ac:dyDescent="0.3">
      <c r="A343" t="s">
        <v>9</v>
      </c>
      <c r="B343">
        <v>2024</v>
      </c>
      <c r="C343">
        <v>48</v>
      </c>
      <c r="D343" s="3">
        <v>0.75</v>
      </c>
      <c r="E343">
        <f>_xlfn.XLOOKUP(MPS[[#This Row],[Linea]],CAPACIDAD[Linea],CAPACIDAD[Capacidad día/Turno])*MPS[[#This Row],[Turnos]]</f>
        <v>41.85</v>
      </c>
    </row>
    <row r="344" spans="1:5" x14ac:dyDescent="0.3">
      <c r="A344" t="s">
        <v>9</v>
      </c>
      <c r="B344">
        <v>2024</v>
      </c>
      <c r="C344">
        <v>49</v>
      </c>
      <c r="D344" s="2">
        <v>0.75</v>
      </c>
      <c r="E344">
        <f>_xlfn.XLOOKUP(MPS[[#This Row],[Linea]],CAPACIDAD[Linea],CAPACIDAD[Capacidad día/Turno])*MPS[[#This Row],[Turnos]]</f>
        <v>41.85</v>
      </c>
    </row>
    <row r="345" spans="1:5" x14ac:dyDescent="0.3">
      <c r="A345" t="s">
        <v>9</v>
      </c>
      <c r="B345">
        <v>2024</v>
      </c>
      <c r="C345">
        <v>50</v>
      </c>
      <c r="D345" s="3">
        <v>0.75</v>
      </c>
      <c r="E345">
        <f>_xlfn.XLOOKUP(MPS[[#This Row],[Linea]],CAPACIDAD[Linea],CAPACIDAD[Capacidad día/Turno])*MPS[[#This Row],[Turnos]]</f>
        <v>41.85</v>
      </c>
    </row>
    <row r="346" spans="1:5" x14ac:dyDescent="0.3">
      <c r="A346" t="s">
        <v>9</v>
      </c>
      <c r="B346">
        <v>2024</v>
      </c>
      <c r="C346">
        <v>51</v>
      </c>
      <c r="D346" s="2">
        <v>0.75</v>
      </c>
      <c r="E346">
        <f>_xlfn.XLOOKUP(MPS[[#This Row],[Linea]],CAPACIDAD[Linea],CAPACIDAD[Capacidad día/Turno])*MPS[[#This Row],[Turnos]]</f>
        <v>41.85</v>
      </c>
    </row>
    <row r="347" spans="1:5" x14ac:dyDescent="0.3">
      <c r="A347" t="s">
        <v>9</v>
      </c>
      <c r="B347">
        <v>2025</v>
      </c>
      <c r="C347">
        <v>2</v>
      </c>
      <c r="D347" s="3">
        <v>1</v>
      </c>
      <c r="E347">
        <f>_xlfn.XLOOKUP(MPS[[#This Row],[Linea]],CAPACIDAD[Linea],CAPACIDAD[Capacidad día/Turno])*MPS[[#This Row],[Turnos]]</f>
        <v>55.800000000000004</v>
      </c>
    </row>
    <row r="348" spans="1:5" x14ac:dyDescent="0.3">
      <c r="A348" t="s">
        <v>9</v>
      </c>
      <c r="B348">
        <v>2025</v>
      </c>
      <c r="C348">
        <v>3</v>
      </c>
      <c r="D348" s="2">
        <v>1</v>
      </c>
      <c r="E348">
        <f>_xlfn.XLOOKUP(MPS[[#This Row],[Linea]],CAPACIDAD[Linea],CAPACIDAD[Capacidad día/Turno])*MPS[[#This Row],[Turnos]]</f>
        <v>55.800000000000004</v>
      </c>
    </row>
    <row r="349" spans="1:5" x14ac:dyDescent="0.3">
      <c r="A349" t="s">
        <v>9</v>
      </c>
      <c r="B349">
        <v>2025</v>
      </c>
      <c r="C349">
        <v>4</v>
      </c>
      <c r="D349" s="3">
        <v>1</v>
      </c>
      <c r="E349">
        <f>_xlfn.XLOOKUP(MPS[[#This Row],[Linea]],CAPACIDAD[Linea],CAPACIDAD[Capacidad día/Turno])*MPS[[#This Row],[Turnos]]</f>
        <v>55.800000000000004</v>
      </c>
    </row>
    <row r="350" spans="1:5" x14ac:dyDescent="0.3">
      <c r="A350" t="s">
        <v>9</v>
      </c>
      <c r="B350">
        <v>2025</v>
      </c>
      <c r="C350">
        <v>5</v>
      </c>
      <c r="D350" s="2">
        <v>1</v>
      </c>
      <c r="E350">
        <f>_xlfn.XLOOKUP(MPS[[#This Row],[Linea]],CAPACIDAD[Linea],CAPACIDAD[Capacidad día/Turno])*MPS[[#This Row],[Turnos]]</f>
        <v>55.800000000000004</v>
      </c>
    </row>
    <row r="351" spans="1:5" x14ac:dyDescent="0.3">
      <c r="A351" t="s">
        <v>9</v>
      </c>
      <c r="B351">
        <v>2025</v>
      </c>
      <c r="C351">
        <v>6</v>
      </c>
      <c r="D351" s="3">
        <v>1</v>
      </c>
      <c r="E351">
        <f>_xlfn.XLOOKUP(MPS[[#This Row],[Linea]],CAPACIDAD[Linea],CAPACIDAD[Capacidad día/Turno])*MPS[[#This Row],[Turnos]]</f>
        <v>55.800000000000004</v>
      </c>
    </row>
    <row r="352" spans="1:5" x14ac:dyDescent="0.3">
      <c r="A352" t="s">
        <v>9</v>
      </c>
      <c r="B352">
        <v>2025</v>
      </c>
      <c r="C352">
        <v>7</v>
      </c>
      <c r="D352" s="2">
        <v>1</v>
      </c>
      <c r="E352">
        <f>_xlfn.XLOOKUP(MPS[[#This Row],[Linea]],CAPACIDAD[Linea],CAPACIDAD[Capacidad día/Turno])*MPS[[#This Row],[Turnos]]</f>
        <v>55.800000000000004</v>
      </c>
    </row>
    <row r="353" spans="1:5" x14ac:dyDescent="0.3">
      <c r="A353" t="s">
        <v>9</v>
      </c>
      <c r="B353">
        <v>2025</v>
      </c>
      <c r="C353">
        <v>8</v>
      </c>
      <c r="D353" s="3">
        <v>1</v>
      </c>
      <c r="E353">
        <f>_xlfn.XLOOKUP(MPS[[#This Row],[Linea]],CAPACIDAD[Linea],CAPACIDAD[Capacidad día/Turno])*MPS[[#This Row],[Turnos]]</f>
        <v>55.800000000000004</v>
      </c>
    </row>
    <row r="354" spans="1:5" x14ac:dyDescent="0.3">
      <c r="A354" t="s">
        <v>9</v>
      </c>
      <c r="B354">
        <v>2025</v>
      </c>
      <c r="C354">
        <v>9</v>
      </c>
      <c r="D354" s="2">
        <v>1</v>
      </c>
      <c r="E354">
        <f>_xlfn.XLOOKUP(MPS[[#This Row],[Linea]],CAPACIDAD[Linea],CAPACIDAD[Capacidad día/Turno])*MPS[[#This Row],[Turnos]]</f>
        <v>55.800000000000004</v>
      </c>
    </row>
    <row r="355" spans="1:5" x14ac:dyDescent="0.3">
      <c r="A355" t="s">
        <v>9</v>
      </c>
      <c r="B355">
        <v>2025</v>
      </c>
      <c r="C355">
        <v>10</v>
      </c>
      <c r="D355" s="2">
        <v>1</v>
      </c>
      <c r="E355">
        <f>_xlfn.XLOOKUP(MPS[[#This Row],[Linea]],CAPACIDAD[Linea],CAPACIDAD[Capacidad día/Turno])*MPS[[#This Row],[Turnos]]</f>
        <v>55.800000000000004</v>
      </c>
    </row>
    <row r="356" spans="1:5" x14ac:dyDescent="0.3">
      <c r="A356" t="s">
        <v>9</v>
      </c>
      <c r="B356">
        <v>2025</v>
      </c>
      <c r="C356">
        <v>11</v>
      </c>
      <c r="D356" s="2">
        <v>1</v>
      </c>
      <c r="E356">
        <f>_xlfn.XLOOKUP(MPS[[#This Row],[Linea]],CAPACIDAD[Linea],CAPACIDAD[Capacidad día/Turno])*MPS[[#This Row],[Turnos]]</f>
        <v>55.800000000000004</v>
      </c>
    </row>
    <row r="357" spans="1:5" x14ac:dyDescent="0.3">
      <c r="A357" t="s">
        <v>9</v>
      </c>
      <c r="B357">
        <v>2025</v>
      </c>
      <c r="C357">
        <v>12</v>
      </c>
      <c r="D357" s="2">
        <v>1</v>
      </c>
      <c r="E357">
        <f>_xlfn.XLOOKUP(MPS[[#This Row],[Linea]],CAPACIDAD[Linea],CAPACIDAD[Capacidad día/Turno])*MPS[[#This Row],[Turnos]]</f>
        <v>55.800000000000004</v>
      </c>
    </row>
    <row r="358" spans="1:5" x14ac:dyDescent="0.3">
      <c r="A358" t="s">
        <v>9</v>
      </c>
      <c r="B358">
        <v>2025</v>
      </c>
      <c r="C358">
        <v>13</v>
      </c>
      <c r="D358" s="2">
        <v>1</v>
      </c>
      <c r="E358">
        <f>_xlfn.XLOOKUP(MPS[[#This Row],[Linea]],CAPACIDAD[Linea],CAPACIDAD[Capacidad día/Turno])*MPS[[#This Row],[Turnos]]</f>
        <v>55.800000000000004</v>
      </c>
    </row>
    <row r="359" spans="1:5" x14ac:dyDescent="0.3">
      <c r="A359" t="s">
        <v>9</v>
      </c>
      <c r="B359">
        <v>2025</v>
      </c>
      <c r="C359">
        <v>14</v>
      </c>
      <c r="D359" s="2">
        <v>1</v>
      </c>
      <c r="E359">
        <f>_xlfn.XLOOKUP(MPS[[#This Row],[Linea]],CAPACIDAD[Linea],CAPACIDAD[Capacidad día/Turno])*MPS[[#This Row],[Turnos]]</f>
        <v>55.800000000000004</v>
      </c>
    </row>
    <row r="360" spans="1:5" x14ac:dyDescent="0.3">
      <c r="A360" t="s">
        <v>9</v>
      </c>
      <c r="B360">
        <v>2025</v>
      </c>
      <c r="C360">
        <v>15</v>
      </c>
      <c r="D360" s="2">
        <v>2</v>
      </c>
      <c r="E360">
        <f>_xlfn.XLOOKUP(MPS[[#This Row],[Linea]],CAPACIDAD[Linea],CAPACIDAD[Capacidad día/Turno])*MPS[[#This Row],[Turnos]]</f>
        <v>111.60000000000001</v>
      </c>
    </row>
    <row r="361" spans="1:5" x14ac:dyDescent="0.3">
      <c r="A361" t="s">
        <v>9</v>
      </c>
      <c r="B361">
        <v>2025</v>
      </c>
      <c r="C361">
        <v>16</v>
      </c>
      <c r="D361" s="2">
        <v>0</v>
      </c>
      <c r="E361">
        <f>_xlfn.XLOOKUP(MPS[[#This Row],[Linea]],CAPACIDAD[Linea],CAPACIDAD[Capacidad día/Turno])*MPS[[#This Row],[Turnos]]</f>
        <v>0</v>
      </c>
    </row>
    <row r="362" spans="1:5" x14ac:dyDescent="0.3">
      <c r="A362" t="s">
        <v>9</v>
      </c>
      <c r="B362">
        <v>2025</v>
      </c>
      <c r="C362">
        <v>17</v>
      </c>
      <c r="D362" s="2">
        <v>2</v>
      </c>
      <c r="E362">
        <f>_xlfn.XLOOKUP(MPS[[#This Row],[Linea]],CAPACIDAD[Linea],CAPACIDAD[Capacidad día/Turno])*MPS[[#This Row],[Turnos]]</f>
        <v>111.60000000000001</v>
      </c>
    </row>
    <row r="363" spans="1:5" x14ac:dyDescent="0.3">
      <c r="A363" t="s">
        <v>9</v>
      </c>
      <c r="B363">
        <v>2025</v>
      </c>
      <c r="C363">
        <v>18</v>
      </c>
      <c r="D363" s="2">
        <v>2</v>
      </c>
      <c r="E363">
        <f>_xlfn.XLOOKUP(MPS[[#This Row],[Linea]],CAPACIDAD[Linea],CAPACIDAD[Capacidad día/Turno])*MPS[[#This Row],[Turnos]]</f>
        <v>111.60000000000001</v>
      </c>
    </row>
    <row r="364" spans="1:5" x14ac:dyDescent="0.3">
      <c r="A364" t="s">
        <v>9</v>
      </c>
      <c r="B364">
        <v>2025</v>
      </c>
      <c r="C364">
        <v>19</v>
      </c>
      <c r="D364" s="2">
        <v>2</v>
      </c>
      <c r="E364">
        <f>_xlfn.XLOOKUP(MPS[[#This Row],[Linea]],CAPACIDAD[Linea],CAPACIDAD[Capacidad día/Turno])*MPS[[#This Row],[Turnos]]</f>
        <v>111.60000000000001</v>
      </c>
    </row>
    <row r="365" spans="1:5" x14ac:dyDescent="0.3">
      <c r="A365" t="s">
        <v>9</v>
      </c>
      <c r="B365">
        <v>2025</v>
      </c>
      <c r="C365">
        <v>20</v>
      </c>
      <c r="D365" s="2">
        <v>1.5</v>
      </c>
      <c r="E365">
        <f>_xlfn.XLOOKUP(MPS[[#This Row],[Linea]],CAPACIDAD[Linea],CAPACIDAD[Capacidad día/Turno])*MPS[[#This Row],[Turnos]]</f>
        <v>83.7</v>
      </c>
    </row>
    <row r="366" spans="1:5" x14ac:dyDescent="0.3">
      <c r="A366" t="s">
        <v>9</v>
      </c>
      <c r="B366">
        <v>2025</v>
      </c>
      <c r="C366">
        <v>21</v>
      </c>
      <c r="D366" s="2">
        <v>1.5</v>
      </c>
      <c r="E366">
        <f>_xlfn.XLOOKUP(MPS[[#This Row],[Linea]],CAPACIDAD[Linea],CAPACIDAD[Capacidad día/Turno])*MPS[[#This Row],[Turnos]]</f>
        <v>83.7</v>
      </c>
    </row>
    <row r="367" spans="1:5" x14ac:dyDescent="0.3">
      <c r="A367" t="s">
        <v>9</v>
      </c>
      <c r="B367">
        <v>2025</v>
      </c>
      <c r="C367">
        <v>22</v>
      </c>
      <c r="D367" s="2">
        <v>1.5</v>
      </c>
      <c r="E367">
        <f>_xlfn.XLOOKUP(MPS[[#This Row],[Linea]],CAPACIDAD[Linea],CAPACIDAD[Capacidad día/Turno])*MPS[[#This Row],[Turnos]]</f>
        <v>83.7</v>
      </c>
    </row>
    <row r="368" spans="1:5" x14ac:dyDescent="0.3">
      <c r="A368" t="s">
        <v>9</v>
      </c>
      <c r="B368">
        <v>2025</v>
      </c>
      <c r="C368">
        <v>23</v>
      </c>
      <c r="D368" s="2">
        <v>1.5</v>
      </c>
      <c r="E368">
        <f>_xlfn.XLOOKUP(MPS[[#This Row],[Linea]],CAPACIDAD[Linea],CAPACIDAD[Capacidad día/Turno])*MPS[[#This Row],[Turnos]]</f>
        <v>83.7</v>
      </c>
    </row>
    <row r="369" spans="1:5" x14ac:dyDescent="0.3">
      <c r="A369" t="s">
        <v>9</v>
      </c>
      <c r="B369">
        <v>2025</v>
      </c>
      <c r="C369">
        <v>24</v>
      </c>
      <c r="D369" s="2">
        <v>1.5</v>
      </c>
      <c r="E369">
        <f>_xlfn.XLOOKUP(MPS[[#This Row],[Linea]],CAPACIDAD[Linea],CAPACIDAD[Capacidad día/Turno])*MPS[[#This Row],[Turnos]]</f>
        <v>83.7</v>
      </c>
    </row>
    <row r="370" spans="1:5" x14ac:dyDescent="0.3">
      <c r="A370" t="s">
        <v>9</v>
      </c>
      <c r="B370">
        <v>2025</v>
      </c>
      <c r="C370">
        <v>25</v>
      </c>
      <c r="D370" s="2">
        <v>1.5</v>
      </c>
      <c r="E370">
        <f>_xlfn.XLOOKUP(MPS[[#This Row],[Linea]],CAPACIDAD[Linea],CAPACIDAD[Capacidad día/Turno])*MPS[[#This Row],[Turnos]]</f>
        <v>83.7</v>
      </c>
    </row>
    <row r="371" spans="1:5" x14ac:dyDescent="0.3">
      <c r="A371" t="s">
        <v>9</v>
      </c>
      <c r="B371">
        <v>2025</v>
      </c>
      <c r="C371">
        <v>26</v>
      </c>
      <c r="D371" s="2">
        <v>1.5</v>
      </c>
      <c r="E371">
        <f>_xlfn.XLOOKUP(MPS[[#This Row],[Linea]],CAPACIDAD[Linea],CAPACIDAD[Capacidad día/Turno])*MPS[[#This Row],[Turnos]]</f>
        <v>83.7</v>
      </c>
    </row>
    <row r="372" spans="1:5" x14ac:dyDescent="0.3">
      <c r="A372" t="s">
        <v>9</v>
      </c>
      <c r="B372">
        <v>2025</v>
      </c>
      <c r="C372">
        <v>27</v>
      </c>
      <c r="D372" s="2">
        <v>1.5</v>
      </c>
      <c r="E372">
        <f>_xlfn.XLOOKUP(MPS[[#This Row],[Linea]],CAPACIDAD[Linea],CAPACIDAD[Capacidad día/Turno])*MPS[[#This Row],[Turnos]]</f>
        <v>83.7</v>
      </c>
    </row>
    <row r="373" spans="1:5" x14ac:dyDescent="0.3">
      <c r="A373" t="s">
        <v>9</v>
      </c>
      <c r="B373">
        <v>2025</v>
      </c>
      <c r="C373">
        <v>28</v>
      </c>
      <c r="D373" s="2">
        <v>1.5</v>
      </c>
      <c r="E373">
        <f>_xlfn.XLOOKUP(MPS[[#This Row],[Linea]],CAPACIDAD[Linea],CAPACIDAD[Capacidad día/Turno])*MPS[[#This Row],[Turnos]]</f>
        <v>83.7</v>
      </c>
    </row>
    <row r="374" spans="1:5" x14ac:dyDescent="0.3">
      <c r="A374" t="s">
        <v>9</v>
      </c>
      <c r="B374">
        <v>2025</v>
      </c>
      <c r="C374">
        <v>29</v>
      </c>
      <c r="D374" s="2">
        <v>1.5</v>
      </c>
      <c r="E374">
        <f>_xlfn.XLOOKUP(MPS[[#This Row],[Linea]],CAPACIDAD[Linea],CAPACIDAD[Capacidad día/Turno])*MPS[[#This Row],[Turnos]]</f>
        <v>83.7</v>
      </c>
    </row>
    <row r="375" spans="1:5" x14ac:dyDescent="0.3">
      <c r="A375" t="s">
        <v>9</v>
      </c>
      <c r="B375">
        <v>2025</v>
      </c>
      <c r="C375">
        <v>30</v>
      </c>
      <c r="D375" s="2">
        <v>1.5</v>
      </c>
      <c r="E375">
        <f>_xlfn.XLOOKUP(MPS[[#This Row],[Linea]],CAPACIDAD[Linea],CAPACIDAD[Capacidad día/Turno])*MPS[[#This Row],[Turnos]]</f>
        <v>83.7</v>
      </c>
    </row>
    <row r="376" spans="1:5" x14ac:dyDescent="0.3">
      <c r="A376" t="s">
        <v>9</v>
      </c>
      <c r="B376">
        <v>2025</v>
      </c>
      <c r="C376">
        <v>31</v>
      </c>
      <c r="D376" s="2">
        <v>1.5</v>
      </c>
      <c r="E376">
        <f>_xlfn.XLOOKUP(MPS[[#This Row],[Linea]],CAPACIDAD[Linea],CAPACIDAD[Capacidad día/Turno])*MPS[[#This Row],[Turnos]]</f>
        <v>83.7</v>
      </c>
    </row>
    <row r="377" spans="1:5" x14ac:dyDescent="0.3">
      <c r="A377" t="s">
        <v>9</v>
      </c>
      <c r="B377">
        <v>2025</v>
      </c>
      <c r="C377">
        <v>32</v>
      </c>
      <c r="D377" s="2">
        <v>1</v>
      </c>
      <c r="E377">
        <f>_xlfn.XLOOKUP(MPS[[#This Row],[Linea]],CAPACIDAD[Linea],CAPACIDAD[Capacidad día/Turno])*MPS[[#This Row],[Turnos]]</f>
        <v>55.800000000000004</v>
      </c>
    </row>
    <row r="378" spans="1:5" x14ac:dyDescent="0.3">
      <c r="A378" t="s">
        <v>9</v>
      </c>
      <c r="B378">
        <v>2025</v>
      </c>
      <c r="C378">
        <v>33</v>
      </c>
      <c r="D378" s="2">
        <v>0</v>
      </c>
      <c r="E378">
        <f>_xlfn.XLOOKUP(MPS[[#This Row],[Linea]],CAPACIDAD[Linea],CAPACIDAD[Capacidad día/Turno])*MPS[[#This Row],[Turnos]]</f>
        <v>0</v>
      </c>
    </row>
    <row r="379" spans="1:5" x14ac:dyDescent="0.3">
      <c r="A379" t="s">
        <v>9</v>
      </c>
      <c r="B379">
        <v>2025</v>
      </c>
      <c r="C379">
        <v>34</v>
      </c>
      <c r="D379" s="2">
        <v>0</v>
      </c>
      <c r="E379">
        <f>_xlfn.XLOOKUP(MPS[[#This Row],[Linea]],CAPACIDAD[Linea],CAPACIDAD[Capacidad día/Turno])*MPS[[#This Row],[Turnos]]</f>
        <v>0</v>
      </c>
    </row>
    <row r="380" spans="1:5" x14ac:dyDescent="0.3">
      <c r="A380" t="s">
        <v>9</v>
      </c>
      <c r="B380">
        <v>2025</v>
      </c>
      <c r="C380">
        <v>35</v>
      </c>
      <c r="D380" s="2">
        <v>0</v>
      </c>
      <c r="E380">
        <f>_xlfn.XLOOKUP(MPS[[#This Row],[Linea]],CAPACIDAD[Linea],CAPACIDAD[Capacidad día/Turno])*MPS[[#This Row],[Turnos]]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B55C-C274-473E-84D1-5604D094BF04}">
  <dimension ref="A1:B12"/>
  <sheetViews>
    <sheetView workbookViewId="0">
      <selection activeCell="D30" sqref="D30"/>
    </sheetView>
  </sheetViews>
  <sheetFormatPr baseColWidth="10" defaultRowHeight="14.4" x14ac:dyDescent="0.3"/>
  <cols>
    <col min="2" max="2" width="18.77734375" bestFit="1" customWidth="1"/>
  </cols>
  <sheetData>
    <row r="1" spans="1:2" x14ac:dyDescent="0.3">
      <c r="A1" t="s">
        <v>12</v>
      </c>
      <c r="B1" t="s">
        <v>13</v>
      </c>
    </row>
    <row r="2" spans="1:2" x14ac:dyDescent="0.3">
      <c r="A2" t="s">
        <v>0</v>
      </c>
      <c r="B2" s="1">
        <v>39.524999999999999</v>
      </c>
    </row>
    <row r="3" spans="1:2" x14ac:dyDescent="0.3">
      <c r="A3" t="s">
        <v>1</v>
      </c>
      <c r="B3" s="1">
        <v>73.625</v>
      </c>
    </row>
    <row r="4" spans="1:2" x14ac:dyDescent="0.3">
      <c r="A4" t="s">
        <v>2</v>
      </c>
      <c r="B4" s="1">
        <v>48.282499999999999</v>
      </c>
    </row>
    <row r="5" spans="1:2" x14ac:dyDescent="0.3">
      <c r="A5" t="s">
        <v>3</v>
      </c>
      <c r="B5" s="1">
        <v>19.995000000000001</v>
      </c>
    </row>
    <row r="6" spans="1:2" x14ac:dyDescent="0.3">
      <c r="A6" t="s">
        <v>4</v>
      </c>
      <c r="B6" s="1">
        <v>55.800000000000004</v>
      </c>
    </row>
    <row r="7" spans="1:2" x14ac:dyDescent="0.3">
      <c r="A7" t="s">
        <v>14</v>
      </c>
      <c r="B7" s="1">
        <v>51.537499999999994</v>
      </c>
    </row>
    <row r="8" spans="1:2" x14ac:dyDescent="0.3">
      <c r="A8" t="s">
        <v>5</v>
      </c>
      <c r="B8" s="1">
        <v>73.314999999999998</v>
      </c>
    </row>
    <row r="9" spans="1:2" x14ac:dyDescent="0.3">
      <c r="A9" t="s">
        <v>6</v>
      </c>
      <c r="B9" s="1">
        <v>106.64</v>
      </c>
    </row>
    <row r="10" spans="1:2" x14ac:dyDescent="0.3">
      <c r="A10" t="s">
        <v>7</v>
      </c>
      <c r="B10" s="1">
        <v>27.9</v>
      </c>
    </row>
    <row r="11" spans="1:2" x14ac:dyDescent="0.3">
      <c r="A11" t="s">
        <v>8</v>
      </c>
      <c r="B11" s="1">
        <v>41.85</v>
      </c>
    </row>
    <row r="12" spans="1:2" x14ac:dyDescent="0.3">
      <c r="A12" t="s">
        <v>9</v>
      </c>
      <c r="B12" s="1">
        <v>55.800000000000004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Alberto</dc:creator>
  <cp:lastModifiedBy>Muñoz, Alberto</cp:lastModifiedBy>
  <dcterms:created xsi:type="dcterms:W3CDTF">2015-06-05T18:17:20Z</dcterms:created>
  <dcterms:modified xsi:type="dcterms:W3CDTF">2025-04-10T07:48:09Z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2024-11-18T15:56:03Z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d2438cbc-774a-47c0-82b2-e52e774384be</vt:lpwstr>
  </property>
  <property fmtid="{D5CDD505-2E9C-101B-9397-08002B2CF9AE}" pid="8" name="MSIP_Label_b7864bb8-b671-4bed-ba85-9478127ab5e9_ContentBits">
    <vt:lpwstr>0</vt:lpwstr>
  </property>
</Properties>
</file>